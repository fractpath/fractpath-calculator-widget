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puts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ummary" sheetId="4" state="visible" r:id="rId4"/>
  </sheets>
  <definedNames>
    <definedName name="CeilingAmountLate">Scenarios!$D$17</definedName>
    <definedName name="GainAboveCapitalEarly">Scenarios!$C$14</definedName>
    <definedName name="BuyerGross_Late">Scenarios!$D$19</definedName>
    <definedName name="ISA_preFloorCapLate">Scenarios!$D$15</definedName>
    <definedName name="UpfrontEquityEarly">Scenarios!$C$7</definedName>
    <definedName name="VestedEquity_total_Early">Scenarios!$C$6</definedName>
    <definedName name="I_monthly">Inputs!$C$7</definedName>
    <definedName name="BuyerNetAfterCostsEarly">Scenarios!$C$36</definedName>
    <definedName name="CPW_start">Inputs!$C$9</definedName>
    <definedName name="TF_early">Inputs!$C$11</definedName>
    <definedName name="BuyerImpliedPurchasePriceStandard">Scenarios!$B$43</definedName>
    <definedName name="FMV_settlementStandard">Scenarios!$B$9</definedName>
    <definedName name="FractPathNetLate">Scenarios!$D$33</definedName>
    <definedName name="FractPathGrossEarly">Scenarios!$C$25</definedName>
    <definedName name="CumPaidLate">Scenarios!$D$5</definedName>
    <definedName name="BuyerGross_Standard">Scenarios!$B$19</definedName>
    <definedName name="BuyerSharedFeesAndClosingEarly">Scenarios!$C$27</definedName>
    <definedName name="TimingFactorStandard">Scenarios!$B$10</definedName>
    <definedName name="BuyerImpliedPurchasePriceLate">Scenarios!$D$43</definedName>
    <definedName name="ReShareServicing">Inputs!$C$22</definedName>
    <definedName name="IBAStandard">Scenarios!$B$8</definedName>
    <definedName name="ExitFeeStandard">Scenarios!$B$24</definedName>
    <definedName name="ServicingTotalEarly">Scenarios!$C$23</definedName>
    <definedName name="Y_late">Inputs!$C$26</definedName>
    <definedName name="BuyerNetAfterCostsStandard">Scenarios!$B$36</definedName>
    <definedName name="ServicingTotalLate">Scenarios!$D$23</definedName>
    <definedName name="BuyerROIAnnualizedStandard">Scenarios!$B$38</definedName>
    <definedName name="ReReferralFlat">Inputs!$C$20</definedName>
    <definedName name="CM">Inputs!$C$14</definedName>
    <definedName name="BuyerNetProfitAfterFeesStandard">Scenarios!$B$37</definedName>
    <definedName name="BuyerSharedFeesAndClosingStandard">Scenarios!$B$27</definedName>
    <definedName name="RealtorExitShareLate">Scenarios!$D$31</definedName>
    <definedName name="GainAboveCapitalStandard">Scenarios!$B$14</definedName>
    <definedName name="ReSharePlatform">Inputs!$C$21</definedName>
    <definedName name="VestedEquity_total_Late">Scenarios!$D$6</definedName>
    <definedName name="IBALate">Scenarios!$D$8</definedName>
    <definedName name="Y_std">Inputs!$C$24</definedName>
    <definedName name="ISA_preFloorCapStandard">Scenarios!$B$15</definedName>
    <definedName name="FMV_Override">Inputs!$C$5</definedName>
    <definedName name="BuyerMoneySavedLate">Scenarios!$D$44</definedName>
    <definedName name="ExitFeePct">Inputs!$C$17</definedName>
    <definedName name="RealtorPlatformShareStandard">Scenarios!$B$29</definedName>
    <definedName name="RealtorTotalShareLate">Scenarios!$D$32</definedName>
    <definedName name="RealtorServicingShareLate">Scenarios!$D$30</definedName>
    <definedName name="ExitYearEarly">Scenarios!$C$3</definedName>
    <definedName name="HomeownerEquityCostStandard">Scenarios!$B$49</definedName>
    <definedName name="VestedEquity_totalLate">#REF!</definedName>
    <definedName name="FM">Inputs!$C$13</definedName>
    <definedName name="UpfrontEquityLate">Scenarios!$D$7</definedName>
    <definedName name="RealtorTotalShareEarly">Scenarios!$C$32</definedName>
    <definedName name="FMV_settlementEarly">Scenarios!$C$9</definedName>
    <definedName name="BaseEquityValueLate">Scenarios!$D$13</definedName>
    <definedName name="BaseEquityValueStandard">Scenarios!$B$13</definedName>
    <definedName name="ISA_settlementLate">Scenarios!$D$18</definedName>
    <definedName name="FractPathGrossLate">Scenarios!$D$25</definedName>
    <definedName name="FractPathNetEarly">Scenarios!$C$33</definedName>
    <definedName name="ExitFeeLate">Scenarios!$D$24</definedName>
    <definedName name="HomeownerCashReceivedStandard">Scenarios!$B$40</definedName>
    <definedName name="ExitYearStandard">Scenarios!$B$3</definedName>
    <definedName name="MonthIndexEarly">Scenarios!$C$4</definedName>
    <definedName name="FloorAmountEarly">Scenarios!$C$16</definedName>
    <definedName name="ServicingFee">Inputs!$C$16</definedName>
    <definedName name="BuyerNetProfitAfterFeesLate">Scenarios!$D$37</definedName>
    <definedName name="FloorAmountLate">Scenarios!$D$16</definedName>
    <definedName name="TotalClosingAndFractpathGrossStandard">Scenarios!$B$26</definedName>
    <definedName name="TotalClosingAndFractpathGrossEarly">Scenarios!$C$26</definedName>
    <definedName name="BuyerMoneySavedEarly">Scenarios!$C$44</definedName>
    <definedName name="VestedEquity_totalEarly">#REF!</definedName>
    <definedName name="TotalClosingAndFractpathGrossLate">Scenarios!$D$26</definedName>
    <definedName name="RealtorPlatformShareLate">Scenarios!$D$29</definedName>
    <definedName name="TimingFactorEarly">Scenarios!$C$10</definedName>
    <definedName name="N_months">Inputs!$C$8</definedName>
    <definedName name="BuyerROIAnnualizedLate">Scenarios!$D$38</definedName>
    <definedName name="RealtorExitShareEarly">Scenarios!$C$31</definedName>
    <definedName name="ExitFeeEarly">Scenarios!$C$24</definedName>
    <definedName name="CumPaidEarly">Scenarios!$C$5</definedName>
    <definedName name="HomeownerCashReceivedEarly">Scenarios!$C$40</definedName>
    <definedName name="BuyerGross_Early">Scenarios!$C$19</definedName>
    <definedName name="TimingFactorLate">Scenarios!$D$10</definedName>
    <definedName name="HomeownerNetAfterCostsStandard">Scenarios!$B$39</definedName>
    <definedName name="FractPathNetStandard">Scenarios!$B$33</definedName>
    <definedName name="ExitYearLate">Scenarios!$D$3</definedName>
    <definedName name="BuyerMoneySavedStandard">Scenarios!$B$44</definedName>
    <definedName name="CumPaidStandard">Scenarios!$B$5</definedName>
    <definedName name="FloorAmountStandard">Scenarios!$B$16</definedName>
    <definedName name="PlatformFee">Inputs!$C$15</definedName>
    <definedName name="ReShareExit">Inputs!$C$23</definedName>
    <definedName name="Y_early">Inputs!$C$25</definedName>
    <definedName name="BuyerNetProfitAfterFeesEarly">Scenarios!$C$37</definedName>
    <definedName name="ISA_preFloorCapEarly">Scenarios!$C$15</definedName>
    <definedName name="AppraisalFee">Inputs!$C$18</definedName>
    <definedName name="g">Inputs!$C$4</definedName>
    <definedName name="ISA_settlementStandard">Scenarios!$B$18</definedName>
    <definedName name="TF_late">Inputs!$C$12</definedName>
    <definedName name="ServicingTotalStandard">Scenarios!$B$23</definedName>
    <definedName name="RealtorServicingShareEarly">Scenarios!$C$30</definedName>
    <definedName name="VestedEquity_total_Standard">Scenarios!$B$6</definedName>
    <definedName name="BuyerImpliedPurchasePriceEarly">Scenarios!$C$43</definedName>
    <definedName name="HomeownerNetAfterCostsLate">Scenarios!$D$39</definedName>
    <definedName name="HomeownerNetCashReceivedWithoutDEALLate">Scenarios!$D$48</definedName>
    <definedName name="ISA_settlementEarly">Scenarios!$C$18</definedName>
    <definedName name="FMV_settlementLate">Scenarios!$D$9</definedName>
    <definedName name="VestedEquity_totalStandard">#REF!</definedName>
    <definedName name="BuyerROIAnnualizedEarly">Scenarios!$C$38</definedName>
    <definedName name="MonthIndexStandard">Scenarios!$B$4</definedName>
    <definedName name="GainAboveCapitalLate">Scenarios!$D$14</definedName>
    <definedName name="CPW_end">Inputs!$C$10</definedName>
    <definedName name="IBAEarly">Scenarios!$C$8</definedName>
    <definedName name="RealtorServicingShareStandard">Scenarios!$B$30</definedName>
    <definedName name="MonthIndexLate">Scenarios!$D$4</definedName>
    <definedName name="BuyerNetAfterCostsLate">Scenarios!$D$36</definedName>
    <definedName name="RealtorExitShareStandard">Scenarios!$B$31</definedName>
    <definedName name="HomeownerEquityCostEarly">Scenarios!$C$49</definedName>
    <definedName name="SellerSharedFeesAndClosingStandard">Scenarios!$B$28</definedName>
    <definedName name="ClosingCosts">Inputs!$C$19</definedName>
    <definedName name="SV">Inputs!$C$3</definedName>
    <definedName name="HomeownerEquityCostLate">Scenarios!$D$49</definedName>
    <definedName name="BaseEquityValueEarly">Scenarios!$C$13</definedName>
    <definedName name="CeilingAmountEarly">Scenarios!$C$17</definedName>
    <definedName name="BuyerSharedFeesAndClosingLate">Scenarios!$D$27</definedName>
    <definedName name="HomeownerNetCashReceivedWithoutDEALStandard">Scenarios!$B$48</definedName>
    <definedName name="RealtorPlatformShareEarly">Scenarios!$C$29</definedName>
    <definedName name="HomeownerCashReceivedLate">Scenarios!$D$40</definedName>
    <definedName name="SellerSharedFeesAndClosingLate">Scenarios!$D$28</definedName>
    <definedName name="HomeownerNetCashReceivedWithoutDEALEarly">Scenarios!$C$48</definedName>
    <definedName name="FractPathGrossStandard">Scenarios!$B$25</definedName>
    <definedName name="SellerSharedFeesAndClosingEarly">Scenarios!$C$28</definedName>
    <definedName name="RealtorTotalShareStandard">Scenarios!$B$32</definedName>
    <definedName name="UpfrontEquityStandard">Scenarios!$B$7</definedName>
    <definedName name="HomeownerNetAfterCostsEarly">Scenarios!$C$39</definedName>
    <definedName name="I_upfront">Inputs!$C$6</definedName>
    <definedName name="CeilingAmountStandard">Scenarios!$B$17</definedName>
    <definedName name="DownsideMode">'Inputs'!$C$27</definedName>
    <definedName name="BuybackPricing">'Inputs'!$C$28</definedName>
    <definedName name="MaturityYears">'Inputs'!$C$29</definedName>
    <definedName name="LiquidityOffsetYears">'Inputs'!$C$30</definedName>
    <definedName name="LiquidityTriggerYear">'Inputs'!$C$31</definedName>
    <definedName name="MinHoldYears">'Inputs'!$C$32</definedName>
    <definedName name="BuybackAllowed">'Inputs'!$C$33</definedName>
    <definedName name="UseRealtor">'Inputs'!$C$34</definedName>
    <definedName name="UseAppraisalFee">'Inputs'!$C$35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&quot;$&quot;#,##0.00"/>
  </numFmts>
  <fonts count="6">
    <font>
      <name val="Calibri"/>
      <color theme="1"/>
      <sz val="11"/>
      <scheme val="minor"/>
    </font>
    <font>
      <name val="Calibri"/>
      <b val="1"/>
      <color theme="1"/>
      <sz val="14"/>
      <scheme val="minor"/>
    </font>
    <font>
      <name val="Calibri"/>
      <b val="1"/>
      <color theme="1"/>
      <scheme val="minor"/>
    </font>
    <font>
      <name val="Calibri"/>
      <color theme="1"/>
      <sz val="11"/>
    </font>
    <font>
      <name val="Calibri"/>
      <color theme="1"/>
      <scheme val="minor"/>
    </font>
    <font>
      <b val="1"/>
    </font>
  </fonts>
  <fills count="5">
    <fill>
      <patternFill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CEBFF"/>
        <bgColor rgb="FFDCEBFF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3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3" borderId="1" pivotButton="0" quotePrefix="0" xfId="0"/>
    <xf numFmtId="10" fontId="3" fillId="3" borderId="1" pivotButton="0" quotePrefix="0" xfId="0"/>
    <xf numFmtId="0" fontId="3" fillId="3" borderId="1" pivotButton="0" quotePrefix="0" xfId="0"/>
    <xf numFmtId="165" fontId="3" fillId="3" borderId="1" pivotButton="0" quotePrefix="0" xfId="0"/>
    <xf numFmtId="0" fontId="3" fillId="3" borderId="1" pivotButton="0" quotePrefix="0" xfId="0"/>
    <xf numFmtId="165" fontId="3" fillId="3" borderId="1" pivotButton="0" quotePrefix="0" xfId="0"/>
    <xf numFmtId="0" fontId="3" fillId="0" borderId="1" pivotButton="0" quotePrefix="0" xfId="0"/>
    <xf numFmtId="10" fontId="3" fillId="3" borderId="1" pivotButton="0" quotePrefix="0" xfId="0"/>
    <xf numFmtId="10" fontId="4" fillId="0" borderId="0" pivotButton="0" quotePrefix="0" xfId="0"/>
    <xf numFmtId="10" fontId="2" fillId="2" borderId="1" applyAlignment="1" pivotButton="0" quotePrefix="0" xfId="0">
      <alignment horizontal="center" vertical="center"/>
    </xf>
    <xf numFmtId="0" fontId="2" fillId="0" borderId="0" pivotButton="0" quotePrefix="0" xfId="0"/>
    <xf numFmtId="165" fontId="3" fillId="0" borderId="1" pivotButton="0" quotePrefix="0" xfId="0"/>
    <xf numFmtId="10" fontId="3" fillId="0" borderId="1" pivotButton="0" quotePrefix="0" xfId="0"/>
    <xf numFmtId="10" fontId="3" fillId="2" borderId="1" pivotButton="0" quotePrefix="0" xfId="0"/>
    <xf numFmtId="165" fontId="4" fillId="0" borderId="0" pivotButton="0" quotePrefix="0" xfId="0"/>
    <xf numFmtId="0" fontId="2" fillId="2" borderId="1" pivotButton="0" quotePrefix="0" xfId="0"/>
    <xf numFmtId="0" fontId="3" fillId="2" borderId="1" applyAlignment="1" pivotButton="0" quotePrefix="0" xfId="0">
      <alignment vertical="top" wrapText="1"/>
    </xf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1" pivotButton="0" quotePrefix="0" xfId="0"/>
    <xf numFmtId="0" fontId="2" fillId="4" borderId="1" pivotButton="0" quotePrefix="0" xfId="0"/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10" fontId="3" fillId="0" borderId="0" pivotButton="0" quotePrefix="0" xfId="0"/>
    <xf numFmtId="165" fontId="3" fillId="0" borderId="0" pivotButton="0" quotePrefix="0" xfId="0"/>
    <xf numFmtId="0" fontId="2" fillId="0" borderId="0" pivotButton="0" quotePrefix="0" xfId="0"/>
    <xf numFmtId="4" fontId="3" fillId="0" borderId="1" pivotButton="0" quotePrefix="0" xfId="0"/>
    <xf numFmtId="0" fontId="0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ColWidth="14.43" defaultRowHeight="15" customHeight="1"/>
  <cols>
    <col width="22" customWidth="1" style="33" min="1" max="1"/>
    <col width="38" customWidth="1" style="33" min="2" max="2"/>
    <col width="18" customWidth="1" style="33" min="3" max="3"/>
    <col width="55" customWidth="1" style="33" min="4" max="4"/>
    <col width="8.710000000000001" customWidth="1" style="33" min="5" max="26"/>
  </cols>
  <sheetData>
    <row r="1">
      <c r="A1" s="1" t="inlineStr">
        <is>
          <t>Inputs</t>
        </is>
      </c>
    </row>
    <row r="2">
      <c r="A2" s="34" t="inlineStr">
        <is>
          <t>Section</t>
        </is>
      </c>
      <c r="B2" s="34" t="inlineStr">
        <is>
          <t>Variable</t>
        </is>
      </c>
      <c r="C2" s="34" t="inlineStr">
        <is>
          <t>Value</t>
        </is>
      </c>
      <c r="D2" s="34" t="inlineStr">
        <is>
          <t>Notes</t>
        </is>
      </c>
    </row>
    <row r="3">
      <c r="A3" s="10" t="inlineStr">
        <is>
          <t>Property</t>
        </is>
      </c>
      <c r="B3" s="10" t="inlineStr">
        <is>
          <t>Starting Value (SV)</t>
        </is>
      </c>
      <c r="C3" s="4" t="n">
        <v>600000</v>
      </c>
      <c r="D3" s="10" t="inlineStr">
        <is>
          <t>Appraisal/AVM at origination</t>
        </is>
      </c>
    </row>
    <row r="4">
      <c r="A4" s="10" t="inlineStr">
        <is>
          <t>Property</t>
        </is>
      </c>
      <c r="B4" s="10" t="inlineStr">
        <is>
          <t>Annual Appreciation (g)</t>
        </is>
      </c>
      <c r="C4" s="11" t="n">
        <v>0.04</v>
      </c>
      <c r="D4" s="10" t="inlineStr">
        <is>
          <t>Decimal (e.g., 0.04 = 4%)</t>
        </is>
      </c>
    </row>
    <row r="5">
      <c r="A5" s="10" t="inlineStr">
        <is>
          <t>Property</t>
        </is>
      </c>
      <c r="B5" s="10" t="inlineStr">
        <is>
          <t>FMV Override (optional)</t>
        </is>
      </c>
      <c r="C5" s="8" t="n"/>
      <c r="D5" s="10" t="inlineStr">
        <is>
          <t>Optional override for FMV at settlement</t>
        </is>
      </c>
    </row>
    <row r="6">
      <c r="A6" s="10" t="inlineStr">
        <is>
          <t>Funding</t>
        </is>
      </c>
      <c r="B6" s="10" t="inlineStr">
        <is>
          <t>Upfront Payment (I_upfront)</t>
        </is>
      </c>
      <c r="C6" s="9" t="n">
        <v>60000</v>
      </c>
      <c r="D6" s="10" t="inlineStr">
        <is>
          <t>Cash at origination</t>
        </is>
      </c>
    </row>
    <row r="7">
      <c r="A7" s="10" t="inlineStr">
        <is>
          <t>Funding</t>
        </is>
      </c>
      <c r="B7" s="10" t="inlineStr">
        <is>
          <t>Monthly Payment (I_monthly)</t>
        </is>
      </c>
      <c r="C7" s="9" t="n">
        <v>2000</v>
      </c>
      <c r="D7" s="10" t="inlineStr">
        <is>
          <t>Monthly installment amount</t>
        </is>
      </c>
    </row>
    <row r="8">
      <c r="A8" s="10" t="inlineStr">
        <is>
          <t>Funding</t>
        </is>
      </c>
      <c r="B8" s="10" t="inlineStr">
        <is>
          <t>Number of Payments (N_months)</t>
        </is>
      </c>
      <c r="C8" s="8" t="n">
        <v>72</v>
      </c>
      <c r="D8" s="10" t="inlineStr">
        <is>
          <t>Count of monthly payments</t>
        </is>
      </c>
    </row>
    <row r="9">
      <c r="A9" s="10" t="inlineStr">
        <is>
          <t>Term Sheet</t>
        </is>
      </c>
      <c r="B9" s="10" t="inlineStr">
        <is>
          <t>Payback Window Start Year (CPW_start)</t>
        </is>
      </c>
      <c r="C9" s="8" t="n">
        <v>4</v>
      </c>
      <c r="D9" s="10" t="n"/>
    </row>
    <row r="10">
      <c r="A10" s="10" t="inlineStr">
        <is>
          <t>Term Sheet</t>
        </is>
      </c>
      <c r="B10" s="10" t="inlineStr">
        <is>
          <t>Payback Window End Year (CPW_end)</t>
        </is>
      </c>
      <c r="C10" s="8" t="n">
        <v>8</v>
      </c>
      <c r="D10" s="10" t="n"/>
    </row>
    <row r="11">
      <c r="A11" s="10" t="inlineStr">
        <is>
          <t>Term Sheet</t>
        </is>
      </c>
      <c r="B11" s="10" t="inlineStr">
        <is>
          <t>Early Discount Factor (TF_early)</t>
        </is>
      </c>
      <c r="C11" s="8" t="n">
        <v>0.9</v>
      </c>
      <c r="D11" s="10" t="inlineStr">
        <is>
          <t>Applied if exit before CPW_start</t>
        </is>
      </c>
    </row>
    <row r="12">
      <c r="A12" s="10" t="inlineStr">
        <is>
          <t>Term Sheet</t>
        </is>
      </c>
      <c r="B12" s="10" t="inlineStr">
        <is>
          <t>Late Premium Factor (TF_late)</t>
        </is>
      </c>
      <c r="C12" s="8" t="n">
        <v>1.2</v>
      </c>
      <c r="D12" s="10" t="inlineStr">
        <is>
          <t>Applied if exit after CPW_end</t>
        </is>
      </c>
    </row>
    <row r="13">
      <c r="A13" s="10" t="inlineStr">
        <is>
          <t>Term Sheet</t>
        </is>
      </c>
      <c r="B13" s="10" t="inlineStr">
        <is>
          <t>Floor Multiplier (FM)</t>
        </is>
      </c>
      <c r="C13" s="8" t="n">
        <v>1.03</v>
      </c>
      <c r="D13" s="10" t="inlineStr">
        <is>
          <t>Minimum multiple of IBA</t>
        </is>
      </c>
    </row>
    <row r="14">
      <c r="A14" s="10" t="inlineStr">
        <is>
          <t>Term Sheet</t>
        </is>
      </c>
      <c r="B14" s="10" t="inlineStr">
        <is>
          <t>Ceiling Multiplier (CM)</t>
        </is>
      </c>
      <c r="C14" s="8" t="n">
        <v>3.25</v>
      </c>
      <c r="D14" s="10" t="inlineStr">
        <is>
          <t>Maximum multiple of IBA</t>
        </is>
      </c>
    </row>
    <row r="15">
      <c r="A15" s="10" t="inlineStr">
        <is>
          <t>Fees / Costs</t>
        </is>
      </c>
      <c r="B15" s="10" t="inlineStr">
        <is>
          <t>Platform Fee (FractPath) (PlatformFee)</t>
        </is>
      </c>
      <c r="C15" s="9" t="n">
        <v>5000</v>
      </c>
      <c r="D15" s="10" t="inlineStr">
        <is>
          <t>Flat fee</t>
        </is>
      </c>
    </row>
    <row r="16">
      <c r="A16" s="10" t="inlineStr">
        <is>
          <t>Fees / Costs</t>
        </is>
      </c>
      <c r="B16" s="10" t="inlineStr">
        <is>
          <t>Servicing Fee Monthly (ServicingFee)</t>
        </is>
      </c>
      <c r="C16" s="9" t="n">
        <v>49</v>
      </c>
      <c r="D16" s="10" t="inlineStr">
        <is>
          <t>Monthly fee</t>
        </is>
      </c>
    </row>
    <row r="17">
      <c r="A17" s="10" t="inlineStr">
        <is>
          <t>Fees / Costs</t>
        </is>
      </c>
      <c r="B17" s="10" t="inlineStr">
        <is>
          <t>Exit Fee % (ExitFeePct)</t>
        </is>
      </c>
      <c r="C17" s="11" t="n">
        <v>0.01</v>
      </c>
      <c r="D17" s="10" t="inlineStr">
        <is>
          <t>Percent of ISA</t>
        </is>
      </c>
    </row>
    <row r="18">
      <c r="A18" s="10" t="inlineStr">
        <is>
          <t>Fees / Costs</t>
        </is>
      </c>
      <c r="B18" s="10" t="inlineStr">
        <is>
          <t>Appraisal Fee</t>
        </is>
      </c>
      <c r="C18" s="9" t="n">
        <v>500</v>
      </c>
      <c r="D18" s="10" t="n"/>
    </row>
    <row r="19">
      <c r="A19" s="10" t="inlineStr">
        <is>
          <t>Fees / Costs</t>
        </is>
      </c>
      <c r="B19" s="10" t="inlineStr">
        <is>
          <t>Expected Closing Costs at Settlement (ClosingCosts)</t>
        </is>
      </c>
      <c r="C19" s="11" t="n">
        <v>0.02</v>
      </c>
      <c r="D19" s="10" t="inlineStr">
        <is>
          <t>% of FMV</t>
        </is>
      </c>
    </row>
    <row r="20">
      <c r="A20" s="10" t="inlineStr">
        <is>
          <t>Realtor Commissions</t>
        </is>
      </c>
      <c r="B20" s="10" t="inlineStr">
        <is>
          <t>Realtor Referral Flat (ReReferralFlat)</t>
        </is>
      </c>
      <c r="C20" s="9" t="n">
        <v>2000</v>
      </c>
      <c r="D20" s="10" t="n"/>
    </row>
    <row r="21">
      <c r="A21" s="10" t="inlineStr">
        <is>
          <t>Realtor Commissions</t>
        </is>
      </c>
      <c r="B21" s="10" t="inlineStr">
        <is>
          <t>Realtor % of Platform Fee (ReSharePlatform)</t>
        </is>
      </c>
      <c r="C21" s="11" t="n">
        <v>0.2</v>
      </c>
      <c r="D21" s="10" t="inlineStr">
        <is>
          <t>Decimal share</t>
        </is>
      </c>
    </row>
    <row r="22" ht="15.75" customHeight="1" s="33">
      <c r="A22" s="10" t="inlineStr">
        <is>
          <t>Realtor Commissions</t>
        </is>
      </c>
      <c r="B22" s="10" t="inlineStr">
        <is>
          <t>Realtor % of Servicing Fees (ReShareServicing)</t>
        </is>
      </c>
      <c r="C22" s="11" t="n">
        <v>0</v>
      </c>
      <c r="D22" s="10" t="inlineStr">
        <is>
          <t>Decimal share</t>
        </is>
      </c>
    </row>
    <row r="23" ht="15.75" customHeight="1" s="33">
      <c r="A23" s="10" t="inlineStr">
        <is>
          <t>Realtor Commissions</t>
        </is>
      </c>
      <c r="B23" s="10" t="inlineStr">
        <is>
          <t>Realtor % of Exit Fee (ReShareExit)</t>
        </is>
      </c>
      <c r="C23" s="11" t="n">
        <v>0.15</v>
      </c>
      <c r="D23" s="10" t="inlineStr">
        <is>
          <t>Decimal share</t>
        </is>
      </c>
    </row>
    <row r="24" ht="15.75" customHeight="1" s="33">
      <c r="A24" s="10" t="inlineStr">
        <is>
          <t>Scenario timing</t>
        </is>
      </c>
      <c r="B24" s="10" t="inlineStr">
        <is>
          <t>Standard Exit Year (Y_std)</t>
        </is>
      </c>
      <c r="C24" s="8" t="n">
        <v>7</v>
      </c>
      <c r="D24" s="10" t="inlineStr">
        <is>
          <t>Year expected to sell</t>
        </is>
      </c>
    </row>
    <row r="25" ht="15.75" customHeight="1" s="33">
      <c r="A25" s="10" t="inlineStr">
        <is>
          <t>Scenario timing</t>
        </is>
      </c>
      <c r="B25" s="10" t="inlineStr">
        <is>
          <t>Early Exit Year (Y_early)</t>
        </is>
      </c>
      <c r="C25" s="8" t="n">
        <v>2</v>
      </c>
      <c r="D25" s="10" t="inlineStr">
        <is>
          <t>Early sell year</t>
        </is>
      </c>
    </row>
    <row r="26" ht="15.75" customHeight="1" s="33">
      <c r="A26" s="10" t="inlineStr">
        <is>
          <t>Scenario timing</t>
        </is>
      </c>
      <c r="B26" s="10" t="inlineStr">
        <is>
          <t>Late Exit Year (Y_late)</t>
        </is>
      </c>
      <c r="C26" s="8" t="n">
        <v>12</v>
      </c>
      <c r="D26" s="10" t="inlineStr">
        <is>
          <t>Late sell year</t>
        </is>
      </c>
    </row>
    <row r="27" ht="15.75" customHeight="1" s="33">
      <c r="A27" t="inlineStr">
        <is>
          <t>Governance / Toggles</t>
        </is>
      </c>
      <c r="B27" t="inlineStr">
        <is>
          <t>Downside Mode (DownsideMode)</t>
        </is>
      </c>
      <c r="C27" t="inlineStr">
        <is>
          <t>HARD_FLOOR</t>
        </is>
      </c>
      <c r="D27" t="inlineStr">
        <is>
          <t>HARD_FLOOR | NO_FLOOR</t>
        </is>
      </c>
    </row>
    <row r="28" ht="15.75" customHeight="1" s="33">
      <c r="A28" t="inlineStr">
        <is>
          <t>Governance / Toggles</t>
        </is>
      </c>
      <c r="B28" t="inlineStr">
        <is>
          <t>Buyback Pricing Mode (BuybackPricing)</t>
        </is>
      </c>
      <c r="C28" t="inlineStr">
        <is>
          <t>ISA_PRO_RATA</t>
        </is>
      </c>
      <c r="D28" t="inlineStr">
        <is>
          <t>ISA_PRO_RATA (default)</t>
        </is>
      </c>
    </row>
    <row r="29" ht="15.75" customHeight="1" s="33">
      <c r="A29" t="inlineStr">
        <is>
          <t>Duration Protection</t>
        </is>
      </c>
      <c r="B29" t="inlineStr">
        <is>
          <t>Contract Maturity (Years) (MaturityYears)</t>
        </is>
      </c>
      <c r="C29" t="n">
        <v>30</v>
      </c>
      <c r="D29" t="inlineStr">
        <is>
          <t>Hard maturity cap</t>
        </is>
      </c>
    </row>
    <row r="30" ht="15.75" customHeight="1" s="33">
      <c r="A30" t="inlineStr">
        <is>
          <t>Duration Protection</t>
        </is>
      </c>
      <c r="B30" t="inlineStr">
        <is>
          <t>Liquidity Trigger Offset (Years) (LiquidityOffsetYears)</t>
        </is>
      </c>
      <c r="C30" t="n">
        <v>5</v>
      </c>
      <c r="D30" t="inlineStr">
        <is>
          <t>Default = CPW_end + offset</t>
        </is>
      </c>
    </row>
    <row r="31" ht="15.75" customHeight="1" s="33">
      <c r="A31" t="inlineStr">
        <is>
          <t>Duration Protection</t>
        </is>
      </c>
      <c r="B31" t="inlineStr">
        <is>
          <t>Liquidity Trigger Year (LiquidityTriggerYear)</t>
        </is>
      </c>
      <c r="C31">
        <f>CPW_end + LiquidityOffsetYears</f>
        <v/>
      </c>
      <c r="D31" t="inlineStr">
        <is>
          <t>Computed</t>
        </is>
      </c>
    </row>
    <row r="32" ht="15.75" customHeight="1" s="33">
      <c r="A32" t="inlineStr">
        <is>
          <t>Duration Protection</t>
        </is>
      </c>
      <c r="B32" t="inlineStr">
        <is>
          <t>Minimum Hold (Years) (MinHoldYears)</t>
        </is>
      </c>
      <c r="C32" t="n">
        <v>2</v>
      </c>
      <c r="D32" t="inlineStr">
        <is>
          <t>Buyback not allowed before this</t>
        </is>
      </c>
    </row>
    <row r="33" ht="15.75" customHeight="1" s="33">
      <c r="A33" t="inlineStr">
        <is>
          <t>Duration Protection</t>
        </is>
      </c>
      <c r="B33" t="inlineStr">
        <is>
          <t>Buyback Allowed (BuybackAllowed)</t>
        </is>
      </c>
      <c r="C33" t="inlineStr">
        <is>
          <t>TRUE</t>
        </is>
      </c>
      <c r="D33" t="inlineStr">
        <is>
          <t>Mandatory allowed = TRUE</t>
        </is>
      </c>
    </row>
    <row r="34" ht="15.75" customHeight="1" s="33">
      <c r="A34" t="inlineStr">
        <is>
          <t>Options</t>
        </is>
      </c>
      <c r="B34" t="inlineStr">
        <is>
          <t>Uses Realtor? (UseRealtor)</t>
        </is>
      </c>
      <c r="C34" t="inlineStr">
        <is>
          <t>TRUE</t>
        </is>
      </c>
      <c r="D34" t="inlineStr">
        <is>
          <t>TRUE/FALSE</t>
        </is>
      </c>
    </row>
    <row r="35" ht="15.75" customHeight="1" s="33">
      <c r="A35" t="inlineStr">
        <is>
          <t>Options</t>
        </is>
      </c>
      <c r="B35" t="inlineStr">
        <is>
          <t>Use Appraisal Fee? (UseAppraisalFee)</t>
        </is>
      </c>
      <c r="C35" t="inlineStr">
        <is>
          <t>TRUE</t>
        </is>
      </c>
      <c r="D35" t="inlineStr">
        <is>
          <t>TRUE/FALSE</t>
        </is>
      </c>
    </row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  <row r="1001" ht="15.75" customHeight="1" s="3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0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0" customWidth="1" style="33" min="1" max="1"/>
    <col width="14" customWidth="1" style="33" min="2" max="2"/>
    <col width="18" customWidth="1" style="33" min="3" max="4"/>
    <col width="14" customWidth="1" style="33" min="5" max="6"/>
    <col width="8.710000000000001" customWidth="1" style="33" min="7" max="7"/>
    <col width="26" customWidth="1" style="33" min="8" max="8"/>
    <col width="8.710000000000001" customWidth="1" style="33" min="9" max="26"/>
  </cols>
  <sheetData>
    <row r="1">
      <c r="A1" s="1" t="inlineStr">
        <is>
          <t>Schedule</t>
        </is>
      </c>
      <c r="D1" s="12" t="n"/>
      <c r="F1" s="12" t="n"/>
    </row>
    <row r="2">
      <c r="A2" s="2" t="inlineStr">
        <is>
          <t>Month</t>
        </is>
      </c>
      <c r="B2" s="2" t="inlineStr">
        <is>
          <t>Payment</t>
        </is>
      </c>
      <c r="C2" s="2" t="inlineStr">
        <is>
          <t>Value_t</t>
        </is>
      </c>
      <c r="D2" s="13" t="inlineStr">
        <is>
          <t>EquityBought_t</t>
        </is>
      </c>
      <c r="E2" s="2" t="inlineStr">
        <is>
          <t>CumPaid</t>
        </is>
      </c>
      <c r="F2" s="13" t="inlineStr">
        <is>
          <t>CumEquity</t>
        </is>
      </c>
      <c r="H2" s="31" t="inlineStr">
        <is>
          <t>UpfrontEquity (reference)</t>
        </is>
      </c>
    </row>
    <row r="3">
      <c r="A3" s="10" t="n">
        <v>1</v>
      </c>
      <c r="B3" s="15">
        <f>IF(A3&lt;=N_months, I_monthly, 0)</f>
        <v/>
      </c>
      <c r="C3" s="15">
        <f>SV*(1+g)^(A3/12)</f>
        <v/>
      </c>
      <c r="D3" s="16">
        <f>IF(B3=0,0,B3/C3)</f>
        <v/>
      </c>
      <c r="E3" s="15">
        <f>SUM($B$3:B3)</f>
        <v/>
      </c>
      <c r="F3" s="16">
        <f>(SUM($D$3:D3)+$H$3)</f>
        <v/>
      </c>
      <c r="H3" s="17">
        <f>IF(I_upfront=0,0,I_upfront/SV)</f>
        <v/>
      </c>
    </row>
    <row r="4">
      <c r="A4" s="10" t="n">
        <v>2</v>
      </c>
      <c r="B4" s="15">
        <f>IF(A4&lt;=N_months, I_monthly, 0)</f>
        <v/>
      </c>
      <c r="C4" s="15">
        <f>SV*(1+g)^(A4/12)</f>
        <v/>
      </c>
      <c r="D4" s="16">
        <f>IF(B4=0,0,B4/C4)</f>
        <v/>
      </c>
      <c r="E4" s="15">
        <f>SUM($B$3:B4)</f>
        <v/>
      </c>
      <c r="F4" s="16">
        <f>(SUM($D$3:D4)+$H$3)</f>
        <v/>
      </c>
    </row>
    <row r="5">
      <c r="A5" s="10" t="n">
        <v>3</v>
      </c>
      <c r="B5" s="15">
        <f>IF(A5&lt;=N_months, I_monthly, 0)</f>
        <v/>
      </c>
      <c r="C5" s="15">
        <f>SV*(1+g)^(A5/12)</f>
        <v/>
      </c>
      <c r="D5" s="16">
        <f>IF(B5=0,0,B5/C5)</f>
        <v/>
      </c>
      <c r="E5" s="15">
        <f>SUM($B$3:B5)</f>
        <v/>
      </c>
      <c r="F5" s="16">
        <f>(SUM($D$3:D5)+$H$3)</f>
        <v/>
      </c>
    </row>
    <row r="6">
      <c r="A6" s="10" t="n">
        <v>4</v>
      </c>
      <c r="B6" s="15">
        <f>IF(A6&lt;=N_months, I_monthly, 0)</f>
        <v/>
      </c>
      <c r="C6" s="15">
        <f>SV*(1+g)^(A6/12)</f>
        <v/>
      </c>
      <c r="D6" s="16">
        <f>IF(B6=0,0,B6/C6)</f>
        <v/>
      </c>
      <c r="E6" s="15">
        <f>SUM($B$3:B6)</f>
        <v/>
      </c>
      <c r="F6" s="16">
        <f>(SUM($D$3:D6)+$H$3)</f>
        <v/>
      </c>
    </row>
    <row r="7">
      <c r="A7" s="10" t="n">
        <v>5</v>
      </c>
      <c r="B7" s="15">
        <f>IF(A7&lt;=N_months, I_monthly, 0)</f>
        <v/>
      </c>
      <c r="C7" s="15">
        <f>SV*(1+g)^(A7/12)</f>
        <v/>
      </c>
      <c r="D7" s="16">
        <f>IF(B7=0,0,B7/C7)</f>
        <v/>
      </c>
      <c r="E7" s="15">
        <f>SUM($B$3:B7)</f>
        <v/>
      </c>
      <c r="F7" s="16">
        <f>(SUM($D$3:D7)+$H$3)</f>
        <v/>
      </c>
    </row>
    <row r="8">
      <c r="A8" s="10" t="n">
        <v>6</v>
      </c>
      <c r="B8" s="15">
        <f>IF(A8&lt;=N_months, I_monthly, 0)</f>
        <v/>
      </c>
      <c r="C8" s="15">
        <f>SV*(1+g)^(A8/12)</f>
        <v/>
      </c>
      <c r="D8" s="16">
        <f>IF(B8=0,0,B8/C8)</f>
        <v/>
      </c>
      <c r="E8" s="15">
        <f>SUM($B$3:B8)</f>
        <v/>
      </c>
      <c r="F8" s="16">
        <f>(SUM($D$3:D8)+$H$3)</f>
        <v/>
      </c>
    </row>
    <row r="9">
      <c r="A9" s="10" t="n">
        <v>7</v>
      </c>
      <c r="B9" s="15">
        <f>IF(A9&lt;=N_months, I_monthly, 0)</f>
        <v/>
      </c>
      <c r="C9" s="15">
        <f>SV*(1+g)^(A9/12)</f>
        <v/>
      </c>
      <c r="D9" s="16">
        <f>IF(B9=0,0,B9/C9)</f>
        <v/>
      </c>
      <c r="E9" s="15">
        <f>SUM($B$3:B9)</f>
        <v/>
      </c>
      <c r="F9" s="16">
        <f>(SUM($D$3:D9)+$H$3)</f>
        <v/>
      </c>
    </row>
    <row r="10">
      <c r="A10" s="10" t="n">
        <v>8</v>
      </c>
      <c r="B10" s="15">
        <f>IF(A10&lt;=N_months, I_monthly, 0)</f>
        <v/>
      </c>
      <c r="C10" s="15">
        <f>SV*(1+g)^(A10/12)</f>
        <v/>
      </c>
      <c r="D10" s="16">
        <f>IF(B10=0,0,B10/C10)</f>
        <v/>
      </c>
      <c r="E10" s="15">
        <f>SUM($B$3:B10)</f>
        <v/>
      </c>
      <c r="F10" s="16">
        <f>(SUM($D$3:D10)+$H$3)</f>
        <v/>
      </c>
    </row>
    <row r="11">
      <c r="A11" s="10" t="n">
        <v>9</v>
      </c>
      <c r="B11" s="15">
        <f>IF(A11&lt;=N_months, I_monthly, 0)</f>
        <v/>
      </c>
      <c r="C11" s="15">
        <f>SV*(1+g)^(A11/12)</f>
        <v/>
      </c>
      <c r="D11" s="16">
        <f>IF(B11=0,0,B11/C11)</f>
        <v/>
      </c>
      <c r="E11" s="15">
        <f>SUM($B$3:B11)</f>
        <v/>
      </c>
      <c r="F11" s="16">
        <f>(SUM($D$3:D11)+$H$3)</f>
        <v/>
      </c>
    </row>
    <row r="12">
      <c r="A12" s="10" t="n">
        <v>10</v>
      </c>
      <c r="B12" s="15">
        <f>IF(A12&lt;=N_months, I_monthly, 0)</f>
        <v/>
      </c>
      <c r="C12" s="15">
        <f>SV*(1+g)^(A12/12)</f>
        <v/>
      </c>
      <c r="D12" s="16">
        <f>IF(B12=0,0,B12/C12)</f>
        <v/>
      </c>
      <c r="E12" s="15">
        <f>SUM($B$3:B12)</f>
        <v/>
      </c>
      <c r="F12" s="16">
        <f>(SUM($D$3:D12)+$H$3)</f>
        <v/>
      </c>
    </row>
    <row r="13">
      <c r="A13" s="10" t="n">
        <v>11</v>
      </c>
      <c r="B13" s="15">
        <f>IF(A13&lt;=N_months, I_monthly, 0)</f>
        <v/>
      </c>
      <c r="C13" s="15">
        <f>SV*(1+g)^(A13/12)</f>
        <v/>
      </c>
      <c r="D13" s="16">
        <f>IF(B13=0,0,B13/C13)</f>
        <v/>
      </c>
      <c r="E13" s="15">
        <f>SUM($B$3:B13)</f>
        <v/>
      </c>
      <c r="F13" s="16">
        <f>(SUM($D$3:D13)+$H$3)</f>
        <v/>
      </c>
    </row>
    <row r="14">
      <c r="A14" s="10" t="n">
        <v>12</v>
      </c>
      <c r="B14" s="15">
        <f>IF(A14&lt;=N_months, I_monthly, 0)</f>
        <v/>
      </c>
      <c r="C14" s="15">
        <f>SV*(1+g)^(A14/12)</f>
        <v/>
      </c>
      <c r="D14" s="16">
        <f>IF(B14=0,0,B14/C14)</f>
        <v/>
      </c>
      <c r="E14" s="15">
        <f>SUM($B$3:B14)</f>
        <v/>
      </c>
      <c r="F14" s="16">
        <f>(SUM($D$3:D14)+$H$3)</f>
        <v/>
      </c>
    </row>
    <row r="15">
      <c r="A15" s="10" t="n">
        <v>13</v>
      </c>
      <c r="B15" s="15">
        <f>IF(A15&lt;=N_months, I_monthly, 0)</f>
        <v/>
      </c>
      <c r="C15" s="15">
        <f>SV*(1+g)^(A15/12)</f>
        <v/>
      </c>
      <c r="D15" s="16">
        <f>IF(B15=0,0,B15/C15)</f>
        <v/>
      </c>
      <c r="E15" s="15">
        <f>SUM($B$3:B15)</f>
        <v/>
      </c>
      <c r="F15" s="16">
        <f>(SUM($D$3:D15)+$H$3)</f>
        <v/>
      </c>
    </row>
    <row r="16">
      <c r="A16" s="10" t="n">
        <v>14</v>
      </c>
      <c r="B16" s="15">
        <f>IF(A16&lt;=N_months, I_monthly, 0)</f>
        <v/>
      </c>
      <c r="C16" s="15">
        <f>SV*(1+g)^(A16/12)</f>
        <v/>
      </c>
      <c r="D16" s="16">
        <f>IF(B16=0,0,B16/C16)</f>
        <v/>
      </c>
      <c r="E16" s="15">
        <f>SUM($B$3:B16)</f>
        <v/>
      </c>
      <c r="F16" s="16">
        <f>(SUM($D$3:D16)+$H$3)</f>
        <v/>
      </c>
    </row>
    <row r="17">
      <c r="A17" s="10" t="n">
        <v>15</v>
      </c>
      <c r="B17" s="15">
        <f>IF(A17&lt;=N_months, I_monthly, 0)</f>
        <v/>
      </c>
      <c r="C17" s="15">
        <f>SV*(1+g)^(A17/12)</f>
        <v/>
      </c>
      <c r="D17" s="16">
        <f>IF(B17=0,0,B17/C17)</f>
        <v/>
      </c>
      <c r="E17" s="15">
        <f>SUM($B$3:B17)</f>
        <v/>
      </c>
      <c r="F17" s="16">
        <f>(SUM($D$3:D17)+$H$3)</f>
        <v/>
      </c>
    </row>
    <row r="18">
      <c r="A18" s="10" t="n">
        <v>16</v>
      </c>
      <c r="B18" s="15">
        <f>IF(A18&lt;=N_months, I_monthly, 0)</f>
        <v/>
      </c>
      <c r="C18" s="15">
        <f>SV*(1+g)^(A18/12)</f>
        <v/>
      </c>
      <c r="D18" s="16">
        <f>IF(B18=0,0,B18/C18)</f>
        <v/>
      </c>
      <c r="E18" s="15">
        <f>SUM($B$3:B18)</f>
        <v/>
      </c>
      <c r="F18" s="16">
        <f>(SUM($D$3:D18)+$H$3)</f>
        <v/>
      </c>
    </row>
    <row r="19">
      <c r="A19" s="10" t="n">
        <v>17</v>
      </c>
      <c r="B19" s="15">
        <f>IF(A19&lt;=N_months, I_monthly, 0)</f>
        <v/>
      </c>
      <c r="C19" s="15">
        <f>SV*(1+g)^(A19/12)</f>
        <v/>
      </c>
      <c r="D19" s="16">
        <f>IF(B19=0,0,B19/C19)</f>
        <v/>
      </c>
      <c r="E19" s="15">
        <f>SUM($B$3:B19)</f>
        <v/>
      </c>
      <c r="F19" s="16">
        <f>(SUM($D$3:D19)+$H$3)</f>
        <v/>
      </c>
    </row>
    <row r="20">
      <c r="A20" s="10" t="n">
        <v>18</v>
      </c>
      <c r="B20" s="15">
        <f>IF(A20&lt;=N_months, I_monthly, 0)</f>
        <v/>
      </c>
      <c r="C20" s="15">
        <f>SV*(1+g)^(A20/12)</f>
        <v/>
      </c>
      <c r="D20" s="16">
        <f>IF(B20=0,0,B20/C20)</f>
        <v/>
      </c>
      <c r="E20" s="15">
        <f>SUM($B$3:B20)</f>
        <v/>
      </c>
      <c r="F20" s="16">
        <f>(SUM($D$3:D20)+$H$3)</f>
        <v/>
      </c>
    </row>
    <row r="21" ht="15.75" customHeight="1" s="33">
      <c r="A21" s="10" t="n">
        <v>19</v>
      </c>
      <c r="B21" s="15">
        <f>IF(A21&lt;=N_months, I_monthly, 0)</f>
        <v/>
      </c>
      <c r="C21" s="15">
        <f>SV*(1+g)^(A21/12)</f>
        <v/>
      </c>
      <c r="D21" s="16">
        <f>IF(B21=0,0,B21/C21)</f>
        <v/>
      </c>
      <c r="E21" s="15">
        <f>SUM($B$3:B21)</f>
        <v/>
      </c>
      <c r="F21" s="16">
        <f>(SUM($D$3:D21)+$H$3)</f>
        <v/>
      </c>
    </row>
    <row r="22" ht="15.75" customHeight="1" s="33">
      <c r="A22" s="10" t="n">
        <v>20</v>
      </c>
      <c r="B22" s="15">
        <f>IF(A22&lt;=N_months, I_monthly, 0)</f>
        <v/>
      </c>
      <c r="C22" s="15">
        <f>SV*(1+g)^(A22/12)</f>
        <v/>
      </c>
      <c r="D22" s="16">
        <f>IF(B22=0,0,B22/C22)</f>
        <v/>
      </c>
      <c r="E22" s="15">
        <f>SUM($B$3:B22)</f>
        <v/>
      </c>
      <c r="F22" s="16">
        <f>(SUM($D$3:D22)+$H$3)</f>
        <v/>
      </c>
    </row>
    <row r="23" ht="15.75" customHeight="1" s="33">
      <c r="A23" s="10" t="n">
        <v>21</v>
      </c>
      <c r="B23" s="15">
        <f>IF(A23&lt;=N_months, I_monthly, 0)</f>
        <v/>
      </c>
      <c r="C23" s="15">
        <f>SV*(1+g)^(A23/12)</f>
        <v/>
      </c>
      <c r="D23" s="16">
        <f>IF(B23=0,0,B23/C23)</f>
        <v/>
      </c>
      <c r="E23" s="15">
        <f>SUM($B$3:B23)</f>
        <v/>
      </c>
      <c r="F23" s="16">
        <f>(SUM($D$3:D23)+$H$3)</f>
        <v/>
      </c>
    </row>
    <row r="24" ht="15.75" customHeight="1" s="33">
      <c r="A24" s="10" t="n">
        <v>22</v>
      </c>
      <c r="B24" s="15">
        <f>IF(A24&lt;=N_months, I_monthly, 0)</f>
        <v/>
      </c>
      <c r="C24" s="15">
        <f>SV*(1+g)^(A24/12)</f>
        <v/>
      </c>
      <c r="D24" s="16">
        <f>IF(B24=0,0,B24/C24)</f>
        <v/>
      </c>
      <c r="E24" s="15">
        <f>SUM($B$3:B24)</f>
        <v/>
      </c>
      <c r="F24" s="16">
        <f>(SUM($D$3:D24)+$H$3)</f>
        <v/>
      </c>
    </row>
    <row r="25" ht="15.75" customHeight="1" s="33">
      <c r="A25" s="10" t="n">
        <v>23</v>
      </c>
      <c r="B25" s="15">
        <f>IF(A25&lt;=N_months, I_monthly, 0)</f>
        <v/>
      </c>
      <c r="C25" s="15">
        <f>SV*(1+g)^(A25/12)</f>
        <v/>
      </c>
      <c r="D25" s="16">
        <f>IF(B25=0,0,B25/C25)</f>
        <v/>
      </c>
      <c r="E25" s="15">
        <f>SUM($B$3:B25)</f>
        <v/>
      </c>
      <c r="F25" s="16">
        <f>(SUM($D$3:D25)+$H$3)</f>
        <v/>
      </c>
    </row>
    <row r="26" ht="15.75" customHeight="1" s="33">
      <c r="A26" s="10" t="n">
        <v>24</v>
      </c>
      <c r="B26" s="15">
        <f>IF(A26&lt;=N_months, I_monthly, 0)</f>
        <v/>
      </c>
      <c r="C26" s="15">
        <f>SV*(1+g)^(A26/12)</f>
        <v/>
      </c>
      <c r="D26" s="16">
        <f>IF(B26=0,0,B26/C26)</f>
        <v/>
      </c>
      <c r="E26" s="15">
        <f>SUM($B$3:B26)</f>
        <v/>
      </c>
      <c r="F26" s="16">
        <f>(SUM($D$3:D26)+$H$3)</f>
        <v/>
      </c>
    </row>
    <row r="27" ht="15.75" customHeight="1" s="33">
      <c r="A27" s="10" t="n">
        <v>25</v>
      </c>
      <c r="B27" s="15">
        <f>IF(A27&lt;=N_months, I_monthly, 0)</f>
        <v/>
      </c>
      <c r="C27" s="15">
        <f>SV*(1+g)^(A27/12)</f>
        <v/>
      </c>
      <c r="D27" s="16">
        <f>IF(B27=0,0,B27/C27)</f>
        <v/>
      </c>
      <c r="E27" s="15">
        <f>SUM($B$3:B27)</f>
        <v/>
      </c>
      <c r="F27" s="16">
        <f>(SUM($D$3:D27)+$H$3)</f>
        <v/>
      </c>
    </row>
    <row r="28" ht="15.75" customHeight="1" s="33">
      <c r="A28" s="10" t="n">
        <v>26</v>
      </c>
      <c r="B28" s="15">
        <f>IF(A28&lt;=N_months, I_monthly, 0)</f>
        <v/>
      </c>
      <c r="C28" s="15">
        <f>SV*(1+g)^(A28/12)</f>
        <v/>
      </c>
      <c r="D28" s="16">
        <f>IF(B28=0,0,B28/C28)</f>
        <v/>
      </c>
      <c r="E28" s="15">
        <f>SUM($B$3:B28)</f>
        <v/>
      </c>
      <c r="F28" s="16">
        <f>(SUM($D$3:D28)+$H$3)</f>
        <v/>
      </c>
    </row>
    <row r="29" ht="15.75" customHeight="1" s="33">
      <c r="A29" s="10" t="n">
        <v>27</v>
      </c>
      <c r="B29" s="15">
        <f>IF(A29&lt;=N_months, I_monthly, 0)</f>
        <v/>
      </c>
      <c r="C29" s="15">
        <f>SV*(1+g)^(A29/12)</f>
        <v/>
      </c>
      <c r="D29" s="16">
        <f>IF(B29=0,0,B29/C29)</f>
        <v/>
      </c>
      <c r="E29" s="15">
        <f>SUM($B$3:B29)</f>
        <v/>
      </c>
      <c r="F29" s="16">
        <f>(SUM($D$3:D29)+$H$3)</f>
        <v/>
      </c>
    </row>
    <row r="30" ht="15.75" customHeight="1" s="33">
      <c r="A30" s="10" t="n">
        <v>28</v>
      </c>
      <c r="B30" s="15">
        <f>IF(A30&lt;=N_months, I_monthly, 0)</f>
        <v/>
      </c>
      <c r="C30" s="15">
        <f>SV*(1+g)^(A30/12)</f>
        <v/>
      </c>
      <c r="D30" s="16">
        <f>IF(B30=0,0,B30/C30)</f>
        <v/>
      </c>
      <c r="E30" s="15">
        <f>SUM($B$3:B30)</f>
        <v/>
      </c>
      <c r="F30" s="16">
        <f>(SUM($D$3:D30)+$H$3)</f>
        <v/>
      </c>
    </row>
    <row r="31" ht="15.75" customHeight="1" s="33">
      <c r="A31" s="10" t="n">
        <v>29</v>
      </c>
      <c r="B31" s="15">
        <f>IF(A31&lt;=N_months, I_monthly, 0)</f>
        <v/>
      </c>
      <c r="C31" s="15">
        <f>SV*(1+g)^(A31/12)</f>
        <v/>
      </c>
      <c r="D31" s="16">
        <f>IF(B31=0,0,B31/C31)</f>
        <v/>
      </c>
      <c r="E31" s="15">
        <f>SUM($B$3:B31)</f>
        <v/>
      </c>
      <c r="F31" s="16">
        <f>(SUM($D$3:D31)+$H$3)</f>
        <v/>
      </c>
    </row>
    <row r="32" ht="15.75" customHeight="1" s="33">
      <c r="A32" s="10" t="n">
        <v>30</v>
      </c>
      <c r="B32" s="15">
        <f>IF(A32&lt;=N_months, I_monthly, 0)</f>
        <v/>
      </c>
      <c r="C32" s="15">
        <f>SV*(1+g)^(A32/12)</f>
        <v/>
      </c>
      <c r="D32" s="16">
        <f>IF(B32=0,0,B32/C32)</f>
        <v/>
      </c>
      <c r="E32" s="15">
        <f>SUM($B$3:B32)</f>
        <v/>
      </c>
      <c r="F32" s="16">
        <f>(SUM($D$3:D32)+$H$3)</f>
        <v/>
      </c>
    </row>
    <row r="33" ht="15.75" customHeight="1" s="33">
      <c r="A33" s="10" t="n">
        <v>31</v>
      </c>
      <c r="B33" s="15">
        <f>IF(A33&lt;=N_months, I_monthly, 0)</f>
        <v/>
      </c>
      <c r="C33" s="15">
        <f>SV*(1+g)^(A33/12)</f>
        <v/>
      </c>
      <c r="D33" s="16">
        <f>IF(B33=0,0,B33/C33)</f>
        <v/>
      </c>
      <c r="E33" s="15">
        <f>SUM($B$3:B33)</f>
        <v/>
      </c>
      <c r="F33" s="16">
        <f>(SUM($D$3:D33)+$H$3)</f>
        <v/>
      </c>
    </row>
    <row r="34" ht="15.75" customHeight="1" s="33">
      <c r="A34" s="10" t="n">
        <v>32</v>
      </c>
      <c r="B34" s="15">
        <f>IF(A34&lt;=N_months, I_monthly, 0)</f>
        <v/>
      </c>
      <c r="C34" s="15">
        <f>SV*(1+g)^(A34/12)</f>
        <v/>
      </c>
      <c r="D34" s="16">
        <f>IF(B34=0,0,B34/C34)</f>
        <v/>
      </c>
      <c r="E34" s="15">
        <f>SUM($B$3:B34)</f>
        <v/>
      </c>
      <c r="F34" s="16">
        <f>(SUM($D$3:D34)+$H$3)</f>
        <v/>
      </c>
      <c r="G34" s="12">
        <f>sum(D3:D38)</f>
        <v/>
      </c>
    </row>
    <row r="35" ht="15.75" customHeight="1" s="33">
      <c r="A35" s="10" t="n">
        <v>33</v>
      </c>
      <c r="B35" s="15">
        <f>IF(A35&lt;=N_months, I_monthly, 0)</f>
        <v/>
      </c>
      <c r="C35" s="15">
        <f>SV*(1+g)^(A35/12)</f>
        <v/>
      </c>
      <c r="D35" s="16">
        <f>IF(B35=0,0,B35/C35)</f>
        <v/>
      </c>
      <c r="E35" s="15">
        <f>SUM($B$3:B35)</f>
        <v/>
      </c>
      <c r="F35" s="16">
        <f>(SUM($D$3:D35)+$H$3)</f>
        <v/>
      </c>
    </row>
    <row r="36" ht="15.75" customHeight="1" s="33">
      <c r="A36" s="10" t="n">
        <v>34</v>
      </c>
      <c r="B36" s="15">
        <f>IF(A36&lt;=N_months, I_monthly, 0)</f>
        <v/>
      </c>
      <c r="C36" s="15">
        <f>SV*(1+g)^(A36/12)</f>
        <v/>
      </c>
      <c r="D36" s="16">
        <f>IF(B36=0,0,B36/C36)</f>
        <v/>
      </c>
      <c r="E36" s="15">
        <f>SUM($B$3:B36)</f>
        <v/>
      </c>
      <c r="F36" s="16">
        <f>(SUM($D$3:D36)+$H$3)</f>
        <v/>
      </c>
    </row>
    <row r="37" ht="15.75" customHeight="1" s="33">
      <c r="A37" s="10" t="n">
        <v>35</v>
      </c>
      <c r="B37" s="15">
        <f>IF(A37&lt;=N_months, I_monthly, 0)</f>
        <v/>
      </c>
      <c r="C37" s="15">
        <f>SV*(1+g)^(A37/12)</f>
        <v/>
      </c>
      <c r="D37" s="16">
        <f>IF(B37=0,0,B37/C37)</f>
        <v/>
      </c>
      <c r="E37" s="15">
        <f>SUM($B$3:B37)</f>
        <v/>
      </c>
      <c r="F37" s="16">
        <f>(SUM($D$3:D37)+$H$3)</f>
        <v/>
      </c>
    </row>
    <row r="38" ht="15.75" customHeight="1" s="33">
      <c r="A38" s="10" t="n">
        <v>36</v>
      </c>
      <c r="B38" s="15">
        <f>IF(A38&lt;=N_months, I_monthly, 0)</f>
        <v/>
      </c>
      <c r="C38" s="15">
        <f>SV*(1+g)^(A38/12)</f>
        <v/>
      </c>
      <c r="D38" s="16">
        <f>IF(B38=0,0,B38/C38)</f>
        <v/>
      </c>
      <c r="E38" s="15">
        <f>SUM($B$3:B38)</f>
        <v/>
      </c>
      <c r="F38" s="16">
        <f>(SUM($D$3:D38)+$H$3)</f>
        <v/>
      </c>
    </row>
    <row r="39" ht="15.75" customHeight="1" s="33">
      <c r="A39" s="10" t="n">
        <v>37</v>
      </c>
      <c r="B39" s="15">
        <f>IF(A39&lt;=N_months, I_monthly, 0)</f>
        <v/>
      </c>
      <c r="C39" s="15">
        <f>SV*(1+g)^(A39/12)</f>
        <v/>
      </c>
      <c r="D39" s="16">
        <f>IF(B39=0,0,B39/C39)</f>
        <v/>
      </c>
      <c r="E39" s="15">
        <f>SUM($B$3:B39)</f>
        <v/>
      </c>
      <c r="F39" s="16">
        <f>(SUM($D$3:D39)+$H$3)</f>
        <v/>
      </c>
    </row>
    <row r="40" ht="15.75" customHeight="1" s="33">
      <c r="A40" s="10" t="n">
        <v>38</v>
      </c>
      <c r="B40" s="15">
        <f>IF(A40&lt;=N_months, I_monthly, 0)</f>
        <v/>
      </c>
      <c r="C40" s="15">
        <f>SV*(1+g)^(A40/12)</f>
        <v/>
      </c>
      <c r="D40" s="16">
        <f>IF(B40=0,0,B40/C40)</f>
        <v/>
      </c>
      <c r="E40" s="15">
        <f>SUM($B$3:B40)</f>
        <v/>
      </c>
      <c r="F40" s="16">
        <f>(SUM($D$3:D40)+$H$3)</f>
        <v/>
      </c>
    </row>
    <row r="41" ht="15.75" customHeight="1" s="33">
      <c r="A41" s="10" t="n">
        <v>39</v>
      </c>
      <c r="B41" s="15">
        <f>IF(A41&lt;=N_months, I_monthly, 0)</f>
        <v/>
      </c>
      <c r="C41" s="15">
        <f>SV*(1+g)^(A41/12)</f>
        <v/>
      </c>
      <c r="D41" s="16">
        <f>IF(B41=0,0,B41/C41)</f>
        <v/>
      </c>
      <c r="E41" s="15">
        <f>SUM($B$3:B41)</f>
        <v/>
      </c>
      <c r="F41" s="16">
        <f>(SUM($D$3:D41)+$H$3)</f>
        <v/>
      </c>
    </row>
    <row r="42" ht="15.75" customHeight="1" s="33">
      <c r="A42" s="10" t="n">
        <v>40</v>
      </c>
      <c r="B42" s="15">
        <f>IF(A42&lt;=N_months, I_monthly, 0)</f>
        <v/>
      </c>
      <c r="C42" s="15">
        <f>SV*(1+g)^(A42/12)</f>
        <v/>
      </c>
      <c r="D42" s="16">
        <f>IF(B42=0,0,B42/C42)</f>
        <v/>
      </c>
      <c r="E42" s="15">
        <f>SUM($B$3:B42)</f>
        <v/>
      </c>
      <c r="F42" s="16">
        <f>(SUM($D$3:D42)+$H$3)</f>
        <v/>
      </c>
    </row>
    <row r="43" ht="15.75" customHeight="1" s="33">
      <c r="A43" s="10" t="n">
        <v>41</v>
      </c>
      <c r="B43" s="15">
        <f>IF(A43&lt;=N_months, I_monthly, 0)</f>
        <v/>
      </c>
      <c r="C43" s="15">
        <f>SV*(1+g)^(A43/12)</f>
        <v/>
      </c>
      <c r="D43" s="16">
        <f>IF(B43=0,0,B43/C43)</f>
        <v/>
      </c>
      <c r="E43" s="15">
        <f>SUM($B$3:B43)</f>
        <v/>
      </c>
      <c r="F43" s="16">
        <f>(SUM($D$3:D43)+$H$3)</f>
        <v/>
      </c>
    </row>
    <row r="44" ht="15.75" customHeight="1" s="33">
      <c r="A44" s="10" t="n">
        <v>42</v>
      </c>
      <c r="B44" s="15">
        <f>IF(A44&lt;=N_months, I_monthly, 0)</f>
        <v/>
      </c>
      <c r="C44" s="15">
        <f>SV*(1+g)^(A44/12)</f>
        <v/>
      </c>
      <c r="D44" s="16">
        <f>IF(B44=0,0,B44/C44)</f>
        <v/>
      </c>
      <c r="E44" s="15">
        <f>SUM($B$3:B44)</f>
        <v/>
      </c>
      <c r="F44" s="16">
        <f>(SUM($D$3:D44)+$H$3)</f>
        <v/>
      </c>
    </row>
    <row r="45" ht="15.75" customHeight="1" s="33">
      <c r="A45" s="10" t="n">
        <v>43</v>
      </c>
      <c r="B45" s="15">
        <f>IF(A45&lt;=N_months, I_monthly, 0)</f>
        <v/>
      </c>
      <c r="C45" s="15">
        <f>SV*(1+g)^(A45/12)</f>
        <v/>
      </c>
      <c r="D45" s="16">
        <f>IF(B45=0,0,B45/C45)</f>
        <v/>
      </c>
      <c r="E45" s="15">
        <f>SUM($B$3:B45)</f>
        <v/>
      </c>
      <c r="F45" s="16">
        <f>(SUM($D$3:D45)+$H$3)</f>
        <v/>
      </c>
    </row>
    <row r="46" ht="15.75" customHeight="1" s="33">
      <c r="A46" s="10" t="n">
        <v>44</v>
      </c>
      <c r="B46" s="15">
        <f>IF(A46&lt;=N_months, I_monthly, 0)</f>
        <v/>
      </c>
      <c r="C46" s="15">
        <f>SV*(1+g)^(A46/12)</f>
        <v/>
      </c>
      <c r="D46" s="16">
        <f>IF(B46=0,0,B46/C46)</f>
        <v/>
      </c>
      <c r="E46" s="15">
        <f>SUM($B$3:B46)</f>
        <v/>
      </c>
      <c r="F46" s="16">
        <f>(SUM($D$3:D46)+$H$3)</f>
        <v/>
      </c>
    </row>
    <row r="47" ht="15.75" customHeight="1" s="33">
      <c r="A47" s="10" t="n">
        <v>45</v>
      </c>
      <c r="B47" s="15">
        <f>IF(A47&lt;=N_months, I_monthly, 0)</f>
        <v/>
      </c>
      <c r="C47" s="15">
        <f>SV*(1+g)^(A47/12)</f>
        <v/>
      </c>
      <c r="D47" s="16">
        <f>IF(B47=0,0,B47/C47)</f>
        <v/>
      </c>
      <c r="E47" s="15">
        <f>SUM($B$3:B47)</f>
        <v/>
      </c>
      <c r="F47" s="16">
        <f>(SUM($D$3:D47)+$H$3)</f>
        <v/>
      </c>
    </row>
    <row r="48" ht="15.75" customHeight="1" s="33">
      <c r="A48" s="10" t="n">
        <v>46</v>
      </c>
      <c r="B48" s="15">
        <f>IF(A48&lt;=N_months, I_monthly, 0)</f>
        <v/>
      </c>
      <c r="C48" s="15">
        <f>SV*(1+g)^(A48/12)</f>
        <v/>
      </c>
      <c r="D48" s="16">
        <f>IF(B48=0,0,B48/C48)</f>
        <v/>
      </c>
      <c r="E48" s="15">
        <f>SUM($B$3:B48)</f>
        <v/>
      </c>
      <c r="F48" s="16">
        <f>(SUM($D$3:D48)+$H$3)</f>
        <v/>
      </c>
    </row>
    <row r="49" ht="15.75" customHeight="1" s="33">
      <c r="A49" s="10" t="n">
        <v>47</v>
      </c>
      <c r="B49" s="15">
        <f>IF(A49&lt;=N_months, I_monthly, 0)</f>
        <v/>
      </c>
      <c r="C49" s="15">
        <f>SV*(1+g)^(A49/12)</f>
        <v/>
      </c>
      <c r="D49" s="16">
        <f>IF(B49=0,0,B49/C49)</f>
        <v/>
      </c>
      <c r="E49" s="15">
        <f>SUM($B$3:B49)</f>
        <v/>
      </c>
      <c r="F49" s="16">
        <f>(SUM($D$3:D49)+$H$3)</f>
        <v/>
      </c>
    </row>
    <row r="50" ht="15.75" customHeight="1" s="33">
      <c r="A50" s="10" t="n">
        <v>48</v>
      </c>
      <c r="B50" s="15">
        <f>IF(A50&lt;=N_months, I_monthly, 0)</f>
        <v/>
      </c>
      <c r="C50" s="15">
        <f>SV*(1+g)^(A50/12)</f>
        <v/>
      </c>
      <c r="D50" s="16">
        <f>IF(B50=0,0,B50/C50)</f>
        <v/>
      </c>
      <c r="E50" s="15">
        <f>SUM($B$3:B50)</f>
        <v/>
      </c>
      <c r="F50" s="16">
        <f>(SUM($D$3:D50)+$H$3)</f>
        <v/>
      </c>
    </row>
    <row r="51" ht="15.75" customHeight="1" s="33">
      <c r="A51" s="10" t="n">
        <v>49</v>
      </c>
      <c r="B51" s="15">
        <f>IF(A51&lt;=N_months, I_monthly, 0)</f>
        <v/>
      </c>
      <c r="C51" s="15">
        <f>SV*(1+g)^(A51/12)</f>
        <v/>
      </c>
      <c r="D51" s="16">
        <f>IF(B51=0,0,B51/C51)</f>
        <v/>
      </c>
      <c r="E51" s="15">
        <f>SUM($B$3:B51)</f>
        <v/>
      </c>
      <c r="F51" s="16">
        <f>(SUM($D$3:D51)+$H$3)</f>
        <v/>
      </c>
    </row>
    <row r="52" ht="15.75" customHeight="1" s="33">
      <c r="A52" s="10" t="n">
        <v>50</v>
      </c>
      <c r="B52" s="15">
        <f>IF(A52&lt;=N_months, I_monthly, 0)</f>
        <v/>
      </c>
      <c r="C52" s="15">
        <f>SV*(1+g)^(A52/12)</f>
        <v/>
      </c>
      <c r="D52" s="16">
        <f>IF(B52=0,0,B52/C52)</f>
        <v/>
      </c>
      <c r="E52" s="15">
        <f>SUM($B$3:B52)</f>
        <v/>
      </c>
      <c r="F52" s="16">
        <f>(SUM($D$3:D52)+$H$3)</f>
        <v/>
      </c>
    </row>
    <row r="53" ht="15.75" customHeight="1" s="33">
      <c r="A53" s="10" t="n">
        <v>51</v>
      </c>
      <c r="B53" s="15">
        <f>IF(A53&lt;=N_months, I_monthly, 0)</f>
        <v/>
      </c>
      <c r="C53" s="15">
        <f>SV*(1+g)^(A53/12)</f>
        <v/>
      </c>
      <c r="D53" s="16">
        <f>IF(B53=0,0,B53/C53)</f>
        <v/>
      </c>
      <c r="E53" s="15">
        <f>SUM($B$3:B53)</f>
        <v/>
      </c>
      <c r="F53" s="16">
        <f>(SUM($D$3:D53)+$H$3)</f>
        <v/>
      </c>
    </row>
    <row r="54" ht="15.75" customHeight="1" s="33">
      <c r="A54" s="10" t="n">
        <v>52</v>
      </c>
      <c r="B54" s="15">
        <f>IF(A54&lt;=N_months, I_monthly, 0)</f>
        <v/>
      </c>
      <c r="C54" s="15">
        <f>SV*(1+g)^(A54/12)</f>
        <v/>
      </c>
      <c r="D54" s="16">
        <f>IF(B54=0,0,B54/C54)</f>
        <v/>
      </c>
      <c r="E54" s="15">
        <f>SUM($B$3:B54)</f>
        <v/>
      </c>
      <c r="F54" s="16">
        <f>(SUM($D$3:D54)+$H$3)</f>
        <v/>
      </c>
    </row>
    <row r="55" ht="15.75" customHeight="1" s="33">
      <c r="A55" s="10" t="n">
        <v>53</v>
      </c>
      <c r="B55" s="15">
        <f>IF(A55&lt;=N_months, I_monthly, 0)</f>
        <v/>
      </c>
      <c r="C55" s="15">
        <f>SV*(1+g)^(A55/12)</f>
        <v/>
      </c>
      <c r="D55" s="16">
        <f>IF(B55=0,0,B55/C55)</f>
        <v/>
      </c>
      <c r="E55" s="15">
        <f>SUM($B$3:B55)</f>
        <v/>
      </c>
      <c r="F55" s="16">
        <f>(SUM($D$3:D55)+$H$3)</f>
        <v/>
      </c>
    </row>
    <row r="56" ht="15.75" customHeight="1" s="33">
      <c r="A56" s="10" t="n">
        <v>54</v>
      </c>
      <c r="B56" s="15">
        <f>IF(A56&lt;=N_months, I_monthly, 0)</f>
        <v/>
      </c>
      <c r="C56" s="15">
        <f>SV*(1+g)^(A56/12)</f>
        <v/>
      </c>
      <c r="D56" s="16">
        <f>IF(B56=0,0,B56/C56)</f>
        <v/>
      </c>
      <c r="E56" s="15">
        <f>SUM($B$3:B56)</f>
        <v/>
      </c>
      <c r="F56" s="16">
        <f>(SUM($D$3:D56)+$H$3)</f>
        <v/>
      </c>
    </row>
    <row r="57" ht="15.75" customHeight="1" s="33">
      <c r="A57" s="10" t="n">
        <v>55</v>
      </c>
      <c r="B57" s="15">
        <f>IF(A57&lt;=N_months, I_monthly, 0)</f>
        <v/>
      </c>
      <c r="C57" s="15">
        <f>SV*(1+g)^(A57/12)</f>
        <v/>
      </c>
      <c r="D57" s="16">
        <f>IF(B57=0,0,B57/C57)</f>
        <v/>
      </c>
      <c r="E57" s="15">
        <f>SUM($B$3:B57)</f>
        <v/>
      </c>
      <c r="F57" s="16">
        <f>(SUM($D$3:D57)+$H$3)</f>
        <v/>
      </c>
    </row>
    <row r="58" ht="15.75" customHeight="1" s="33">
      <c r="A58" s="10" t="n">
        <v>56</v>
      </c>
      <c r="B58" s="15">
        <f>IF(A58&lt;=N_months, I_monthly, 0)</f>
        <v/>
      </c>
      <c r="C58" s="15">
        <f>SV*(1+g)^(A58/12)</f>
        <v/>
      </c>
      <c r="D58" s="16">
        <f>IF(B58=0,0,B58/C58)</f>
        <v/>
      </c>
      <c r="E58" s="15">
        <f>SUM($B$3:B58)</f>
        <v/>
      </c>
      <c r="F58" s="16">
        <f>(SUM($D$3:D58)+$H$3)</f>
        <v/>
      </c>
    </row>
    <row r="59" ht="15.75" customHeight="1" s="33">
      <c r="A59" s="10" t="n">
        <v>57</v>
      </c>
      <c r="B59" s="15">
        <f>IF(A59&lt;=N_months, I_monthly, 0)</f>
        <v/>
      </c>
      <c r="C59" s="15">
        <f>SV*(1+g)^(A59/12)</f>
        <v/>
      </c>
      <c r="D59" s="16">
        <f>IF(B59=0,0,B59/C59)</f>
        <v/>
      </c>
      <c r="E59" s="15">
        <f>SUM($B$3:B59)</f>
        <v/>
      </c>
      <c r="F59" s="16">
        <f>(SUM($D$3:D59)+$H$3)</f>
        <v/>
      </c>
    </row>
    <row r="60" ht="15.75" customHeight="1" s="33">
      <c r="A60" s="10" t="n">
        <v>58</v>
      </c>
      <c r="B60" s="15">
        <f>IF(A60&lt;=N_months, I_monthly, 0)</f>
        <v/>
      </c>
      <c r="C60" s="15">
        <f>SV*(1+g)^(A60/12)</f>
        <v/>
      </c>
      <c r="D60" s="16">
        <f>IF(B60=0,0,B60/C60)</f>
        <v/>
      </c>
      <c r="E60" s="15">
        <f>SUM($B$3:B60)</f>
        <v/>
      </c>
      <c r="F60" s="16">
        <f>(SUM($D$3:D60)+$H$3)</f>
        <v/>
      </c>
    </row>
    <row r="61" ht="15.75" customHeight="1" s="33">
      <c r="A61" s="10" t="n">
        <v>59</v>
      </c>
      <c r="B61" s="15">
        <f>IF(A61&lt;=N_months, I_monthly, 0)</f>
        <v/>
      </c>
      <c r="C61" s="15">
        <f>SV*(1+g)^(A61/12)</f>
        <v/>
      </c>
      <c r="D61" s="16">
        <f>IF(B61=0,0,B61/C61)</f>
        <v/>
      </c>
      <c r="E61" s="15">
        <f>SUM($B$3:B61)</f>
        <v/>
      </c>
      <c r="F61" s="16">
        <f>(SUM($D$3:D61)+$H$3)</f>
        <v/>
      </c>
    </row>
    <row r="62" ht="15.75" customHeight="1" s="33">
      <c r="A62" s="10" t="n">
        <v>60</v>
      </c>
      <c r="B62" s="15">
        <f>IF(A62&lt;=N_months, I_monthly, 0)</f>
        <v/>
      </c>
      <c r="C62" s="15">
        <f>SV*(1+g)^(A62/12)</f>
        <v/>
      </c>
      <c r="D62" s="16">
        <f>IF(B62=0,0,B62/C62)</f>
        <v/>
      </c>
      <c r="E62" s="15">
        <f>SUM($B$3:B62)</f>
        <v/>
      </c>
      <c r="F62" s="16">
        <f>(SUM($D$3:D62)+$H$3)</f>
        <v/>
      </c>
    </row>
    <row r="63" ht="15.75" customHeight="1" s="33">
      <c r="A63" s="10" t="n">
        <v>61</v>
      </c>
      <c r="B63" s="15">
        <f>IF(A63&lt;=N_months, I_monthly, 0)</f>
        <v/>
      </c>
      <c r="C63" s="15">
        <f>SV*(1+g)^(A63/12)</f>
        <v/>
      </c>
      <c r="D63" s="16">
        <f>IF(B63=0,0,B63/C63)</f>
        <v/>
      </c>
      <c r="E63" s="15">
        <f>SUM($B$3:B63)</f>
        <v/>
      </c>
      <c r="F63" s="16">
        <f>(SUM($D$3:D63)+$H$3)</f>
        <v/>
      </c>
    </row>
    <row r="64" ht="15.75" customHeight="1" s="33">
      <c r="A64" s="10" t="n">
        <v>62</v>
      </c>
      <c r="B64" s="15">
        <f>IF(A64&lt;=N_months, I_monthly, 0)</f>
        <v/>
      </c>
      <c r="C64" s="15">
        <f>SV*(1+g)^(A64/12)</f>
        <v/>
      </c>
      <c r="D64" s="16">
        <f>IF(B64=0,0,B64/C64)</f>
        <v/>
      </c>
      <c r="E64" s="15">
        <f>SUM($B$3:B64)</f>
        <v/>
      </c>
      <c r="F64" s="16">
        <f>(SUM($D$3:D64)+$H$3)</f>
        <v/>
      </c>
    </row>
    <row r="65" ht="15.75" customHeight="1" s="33">
      <c r="A65" s="10" t="n">
        <v>63</v>
      </c>
      <c r="B65" s="15">
        <f>IF(A65&lt;=N_months, I_monthly, 0)</f>
        <v/>
      </c>
      <c r="C65" s="15">
        <f>SV*(1+g)^(A65/12)</f>
        <v/>
      </c>
      <c r="D65" s="16">
        <f>IF(B65=0,0,B65/C65)</f>
        <v/>
      </c>
      <c r="E65" s="15">
        <f>SUM($B$3:B65)</f>
        <v/>
      </c>
      <c r="F65" s="16">
        <f>(SUM($D$3:D65)+$H$3)</f>
        <v/>
      </c>
    </row>
    <row r="66" ht="15.75" customHeight="1" s="33">
      <c r="A66" s="10" t="n">
        <v>64</v>
      </c>
      <c r="B66" s="15">
        <f>IF(A66&lt;=N_months, I_monthly, 0)</f>
        <v/>
      </c>
      <c r="C66" s="15">
        <f>SV*(1+g)^(A66/12)</f>
        <v/>
      </c>
      <c r="D66" s="16">
        <f>IF(B66=0,0,B66/C66)</f>
        <v/>
      </c>
      <c r="E66" s="15">
        <f>SUM($B$3:B66)</f>
        <v/>
      </c>
      <c r="F66" s="16">
        <f>(SUM($D$3:D66)+$H$3)</f>
        <v/>
      </c>
    </row>
    <row r="67" ht="15.75" customHeight="1" s="33">
      <c r="A67" s="10" t="n">
        <v>65</v>
      </c>
      <c r="B67" s="15">
        <f>IF(A67&lt;=N_months, I_monthly, 0)</f>
        <v/>
      </c>
      <c r="C67" s="15">
        <f>SV*(1+g)^(A67/12)</f>
        <v/>
      </c>
      <c r="D67" s="16">
        <f>IF(B67=0,0,B67/C67)</f>
        <v/>
      </c>
      <c r="E67" s="15">
        <f>SUM($B$3:B67)</f>
        <v/>
      </c>
      <c r="F67" s="16">
        <f>(SUM($D$3:D67)+$H$3)</f>
        <v/>
      </c>
    </row>
    <row r="68" ht="15.75" customHeight="1" s="33">
      <c r="A68" s="10" t="n">
        <v>66</v>
      </c>
      <c r="B68" s="15">
        <f>IF(A68&lt;=N_months, I_monthly, 0)</f>
        <v/>
      </c>
      <c r="C68" s="15">
        <f>SV*(1+g)^(A68/12)</f>
        <v/>
      </c>
      <c r="D68" s="16">
        <f>IF(B68=0,0,B68/C68)</f>
        <v/>
      </c>
      <c r="E68" s="15">
        <f>SUM($B$3:B68)</f>
        <v/>
      </c>
      <c r="F68" s="16">
        <f>(SUM($D$3:D68)+$H$3)</f>
        <v/>
      </c>
    </row>
    <row r="69" ht="15.75" customHeight="1" s="33">
      <c r="A69" s="10" t="n">
        <v>67</v>
      </c>
      <c r="B69" s="15">
        <f>IF(A69&lt;=N_months, I_monthly, 0)</f>
        <v/>
      </c>
      <c r="C69" s="15">
        <f>SV*(1+g)^(A69/12)</f>
        <v/>
      </c>
      <c r="D69" s="16">
        <f>IF(B69=0,0,B69/C69)</f>
        <v/>
      </c>
      <c r="E69" s="15">
        <f>SUM($B$3:B69)</f>
        <v/>
      </c>
      <c r="F69" s="16">
        <f>(SUM($D$3:D69)+$H$3)</f>
        <v/>
      </c>
    </row>
    <row r="70" ht="15.75" customHeight="1" s="33">
      <c r="A70" s="10" t="n">
        <v>68</v>
      </c>
      <c r="B70" s="15">
        <f>IF(A70&lt;=N_months, I_monthly, 0)</f>
        <v/>
      </c>
      <c r="C70" s="15">
        <f>SV*(1+g)^(A70/12)</f>
        <v/>
      </c>
      <c r="D70" s="16">
        <f>IF(B70=0,0,B70/C70)</f>
        <v/>
      </c>
      <c r="E70" s="15">
        <f>SUM($B$3:B70)</f>
        <v/>
      </c>
      <c r="F70" s="16">
        <f>(SUM($D$3:D70)+$H$3)</f>
        <v/>
      </c>
    </row>
    <row r="71" ht="15.75" customHeight="1" s="33">
      <c r="A71" s="10" t="n">
        <v>69</v>
      </c>
      <c r="B71" s="15">
        <f>IF(A71&lt;=N_months, I_monthly, 0)</f>
        <v/>
      </c>
      <c r="C71" s="15">
        <f>SV*(1+g)^(A71/12)</f>
        <v/>
      </c>
      <c r="D71" s="16">
        <f>IF(B71=0,0,B71/C71)</f>
        <v/>
      </c>
      <c r="E71" s="15">
        <f>SUM($B$3:B71)</f>
        <v/>
      </c>
      <c r="F71" s="16">
        <f>(SUM($D$3:D71)+$H$3)</f>
        <v/>
      </c>
    </row>
    <row r="72" ht="15.75" customHeight="1" s="33">
      <c r="A72" s="10" t="n">
        <v>70</v>
      </c>
      <c r="B72" s="15">
        <f>IF(A72&lt;=N_months, I_monthly, 0)</f>
        <v/>
      </c>
      <c r="C72" s="15">
        <f>SV*(1+g)^(A72/12)</f>
        <v/>
      </c>
      <c r="D72" s="16">
        <f>IF(B72=0,0,B72/C72)</f>
        <v/>
      </c>
      <c r="E72" s="15">
        <f>SUM($B$3:B72)</f>
        <v/>
      </c>
      <c r="F72" s="16">
        <f>(SUM($D$3:D72)+$H$3)</f>
        <v/>
      </c>
    </row>
    <row r="73" ht="15.75" customHeight="1" s="33">
      <c r="A73" s="10" t="n">
        <v>71</v>
      </c>
      <c r="B73" s="15">
        <f>IF(A73&lt;=N_months, I_monthly, 0)</f>
        <v/>
      </c>
      <c r="C73" s="15">
        <f>SV*(1+g)^(A73/12)</f>
        <v/>
      </c>
      <c r="D73" s="16">
        <f>IF(B73=0,0,B73/C73)</f>
        <v/>
      </c>
      <c r="E73" s="15">
        <f>SUM($B$3:B73)</f>
        <v/>
      </c>
      <c r="F73" s="16">
        <f>(SUM($D$3:D73)+$H$3)</f>
        <v/>
      </c>
    </row>
    <row r="74" ht="15.75" customHeight="1" s="33">
      <c r="A74" s="10" t="n">
        <v>72</v>
      </c>
      <c r="B74" s="15">
        <f>IF(A74&lt;=N_months, I_monthly, 0)</f>
        <v/>
      </c>
      <c r="C74" s="15">
        <f>SV*(1+g)^(A74/12)</f>
        <v/>
      </c>
      <c r="D74" s="16">
        <f>IF(B74=0,0,B74/C74)</f>
        <v/>
      </c>
      <c r="E74" s="15">
        <f>SUM($B$3:B74)</f>
        <v/>
      </c>
      <c r="F74" s="16">
        <f>(SUM($D$3:D74)+$H$3)</f>
        <v/>
      </c>
    </row>
    <row r="75" ht="15.75" customHeight="1" s="33">
      <c r="A75" s="10" t="n">
        <v>73</v>
      </c>
      <c r="B75" s="10">
        <f>IF(A75&lt;=N_months, I_monthly, 0)</f>
        <v/>
      </c>
      <c r="C75" s="15">
        <f>SV*(1+g)^(A75/12)</f>
        <v/>
      </c>
      <c r="D75" s="16">
        <f>IF(B75=0,0,B75/C75)</f>
        <v/>
      </c>
      <c r="E75" s="15">
        <f>SUM($B$3:B75)</f>
        <v/>
      </c>
      <c r="F75" s="16">
        <f>(SUM($D$3:D75)+$H$3)</f>
        <v/>
      </c>
    </row>
    <row r="76" ht="15.75" customHeight="1" s="33">
      <c r="A76" s="10" t="n">
        <v>74</v>
      </c>
      <c r="B76" s="10">
        <f>IF(A76&lt;=N_months, I_monthly, 0)</f>
        <v/>
      </c>
      <c r="C76" s="15">
        <f>SV*(1+g)^(A76/12)</f>
        <v/>
      </c>
      <c r="D76" s="16">
        <f>IF(B76=0,0,B76/C76)</f>
        <v/>
      </c>
      <c r="E76" s="15">
        <f>SUM($B$3:B76)</f>
        <v/>
      </c>
      <c r="F76" s="16">
        <f>(SUM($D$3:D76)+$H$3)</f>
        <v/>
      </c>
    </row>
    <row r="77" ht="15.75" customHeight="1" s="33">
      <c r="A77" s="10" t="n">
        <v>75</v>
      </c>
      <c r="B77" s="10">
        <f>IF(A77&lt;=N_months, I_monthly, 0)</f>
        <v/>
      </c>
      <c r="C77" s="15">
        <f>SV*(1+g)^(A77/12)</f>
        <v/>
      </c>
      <c r="D77" s="16">
        <f>IF(B77=0,0,B77/C77)</f>
        <v/>
      </c>
      <c r="E77" s="15">
        <f>SUM($B$3:B77)</f>
        <v/>
      </c>
      <c r="F77" s="16">
        <f>(SUM($D$3:D77)+$H$3)</f>
        <v/>
      </c>
    </row>
    <row r="78" ht="15.75" customHeight="1" s="33">
      <c r="A78" s="10" t="n">
        <v>76</v>
      </c>
      <c r="B78" s="10">
        <f>IF(A78&lt;=N_months, I_monthly, 0)</f>
        <v/>
      </c>
      <c r="C78" s="15">
        <f>SV*(1+g)^(A78/12)</f>
        <v/>
      </c>
      <c r="D78" s="16">
        <f>IF(B78=0,0,B78/C78)</f>
        <v/>
      </c>
      <c r="E78" s="15">
        <f>SUM($B$3:B78)</f>
        <v/>
      </c>
      <c r="F78" s="16">
        <f>(SUM($D$3:D78)+$H$3)</f>
        <v/>
      </c>
    </row>
    <row r="79" ht="15.75" customHeight="1" s="33">
      <c r="A79" s="10" t="n">
        <v>77</v>
      </c>
      <c r="B79" s="10">
        <f>IF(A79&lt;=N_months, I_monthly, 0)</f>
        <v/>
      </c>
      <c r="C79" s="15">
        <f>SV*(1+g)^(A79/12)</f>
        <v/>
      </c>
      <c r="D79" s="16">
        <f>IF(B79=0,0,B79/C79)</f>
        <v/>
      </c>
      <c r="E79" s="15">
        <f>SUM($B$3:B79)</f>
        <v/>
      </c>
      <c r="F79" s="16">
        <f>(SUM($D$3:D79)+$H$3)</f>
        <v/>
      </c>
    </row>
    <row r="80" ht="15.75" customHeight="1" s="33">
      <c r="A80" s="10" t="n">
        <v>78</v>
      </c>
      <c r="B80" s="10">
        <f>IF(A80&lt;=N_months, I_monthly, 0)</f>
        <v/>
      </c>
      <c r="C80" s="15">
        <f>SV*(1+g)^(A80/12)</f>
        <v/>
      </c>
      <c r="D80" s="16">
        <f>IF(B80=0,0,B80/C80)</f>
        <v/>
      </c>
      <c r="E80" s="15">
        <f>SUM($B$3:B80)</f>
        <v/>
      </c>
      <c r="F80" s="16">
        <f>(SUM($D$3:D80)+$H$3)</f>
        <v/>
      </c>
    </row>
    <row r="81" ht="15.75" customHeight="1" s="33">
      <c r="A81" s="10" t="n">
        <v>79</v>
      </c>
      <c r="B81" s="10">
        <f>IF(A81&lt;=N_months, I_monthly, 0)</f>
        <v/>
      </c>
      <c r="C81" s="15">
        <f>SV*(1+g)^(A81/12)</f>
        <v/>
      </c>
      <c r="D81" s="16">
        <f>IF(B81=0,0,B81/C81)</f>
        <v/>
      </c>
      <c r="E81" s="15">
        <f>SUM($B$3:B81)</f>
        <v/>
      </c>
      <c r="F81" s="16">
        <f>(SUM($D$3:D81)+$H$3)</f>
        <v/>
      </c>
    </row>
    <row r="82" ht="15.75" customHeight="1" s="33">
      <c r="A82" s="10" t="n">
        <v>80</v>
      </c>
      <c r="B82" s="10">
        <f>IF(A82&lt;=N_months, I_monthly, 0)</f>
        <v/>
      </c>
      <c r="C82" s="15">
        <f>SV*(1+g)^(A82/12)</f>
        <v/>
      </c>
      <c r="D82" s="16">
        <f>IF(B82=0,0,B82/C82)</f>
        <v/>
      </c>
      <c r="E82" s="15">
        <f>SUM($B$3:B82)</f>
        <v/>
      </c>
      <c r="F82" s="16">
        <f>(SUM($D$3:D82)+$H$3)</f>
        <v/>
      </c>
    </row>
    <row r="83" ht="15.75" customHeight="1" s="33">
      <c r="A83" s="10" t="n">
        <v>81</v>
      </c>
      <c r="B83" s="10">
        <f>IF(A83&lt;=N_months, I_monthly, 0)</f>
        <v/>
      </c>
      <c r="C83" s="15">
        <f>SV*(1+g)^(A83/12)</f>
        <v/>
      </c>
      <c r="D83" s="16">
        <f>IF(B83=0,0,B83/C83)</f>
        <v/>
      </c>
      <c r="E83" s="15">
        <f>SUM($B$3:B83)</f>
        <v/>
      </c>
      <c r="F83" s="16">
        <f>(SUM($D$3:D83)+$H$3)</f>
        <v/>
      </c>
    </row>
    <row r="84" ht="15.75" customHeight="1" s="33">
      <c r="A84" s="10" t="n">
        <v>82</v>
      </c>
      <c r="B84" s="10">
        <f>IF(A84&lt;=N_months, I_monthly, 0)</f>
        <v/>
      </c>
      <c r="C84" s="15">
        <f>SV*(1+g)^(A84/12)</f>
        <v/>
      </c>
      <c r="D84" s="16">
        <f>IF(B84=0,0,B84/C84)</f>
        <v/>
      </c>
      <c r="E84" s="15">
        <f>SUM($B$3:B84)</f>
        <v/>
      </c>
      <c r="F84" s="16">
        <f>(SUM($D$3:D84)+$H$3)</f>
        <v/>
      </c>
    </row>
    <row r="85" ht="15.75" customHeight="1" s="33">
      <c r="A85" s="10" t="n">
        <v>83</v>
      </c>
      <c r="B85" s="10">
        <f>IF(A85&lt;=N_months, I_monthly, 0)</f>
        <v/>
      </c>
      <c r="C85" s="15">
        <f>SV*(1+g)^(A85/12)</f>
        <v/>
      </c>
      <c r="D85" s="16">
        <f>IF(B85=0,0,B85/C85)</f>
        <v/>
      </c>
      <c r="E85" s="15">
        <f>SUM($B$3:B85)</f>
        <v/>
      </c>
      <c r="F85" s="16">
        <f>(SUM($D$3:D85)+$H$3)</f>
        <v/>
      </c>
    </row>
    <row r="86" ht="15.75" customHeight="1" s="33">
      <c r="A86" s="10" t="n">
        <v>84</v>
      </c>
      <c r="B86" s="10">
        <f>IF(A86&lt;=N_months, I_monthly, 0)</f>
        <v/>
      </c>
      <c r="C86" s="15">
        <f>SV*(1+g)^(A86/12)</f>
        <v/>
      </c>
      <c r="D86" s="16">
        <f>IF(B86=0,0,B86/C86)</f>
        <v/>
      </c>
      <c r="E86" s="15">
        <f>SUM($B$3:B86)</f>
        <v/>
      </c>
      <c r="F86" s="16">
        <f>(SUM($D$3:D86)+$H$3)</f>
        <v/>
      </c>
    </row>
    <row r="87" ht="15.75" customHeight="1" s="33">
      <c r="A87" s="10" t="n">
        <v>85</v>
      </c>
      <c r="B87" s="10">
        <f>IF(A87&lt;=N_months, I_monthly, 0)</f>
        <v/>
      </c>
      <c r="C87" s="15">
        <f>SV*(1+g)^(A87/12)</f>
        <v/>
      </c>
      <c r="D87" s="16">
        <f>IF(B87=0,0,B87/C87)</f>
        <v/>
      </c>
      <c r="E87" s="15">
        <f>SUM($B$3:B87)</f>
        <v/>
      </c>
      <c r="F87" s="16">
        <f>(SUM($D$3:D87)+$H$3)</f>
        <v/>
      </c>
    </row>
    <row r="88" ht="15.75" customHeight="1" s="33">
      <c r="A88" s="10" t="n">
        <v>86</v>
      </c>
      <c r="B88" s="10">
        <f>IF(A88&lt;=N_months, I_monthly, 0)</f>
        <v/>
      </c>
      <c r="C88" s="15">
        <f>SV*(1+g)^(A88/12)</f>
        <v/>
      </c>
      <c r="D88" s="16">
        <f>IF(B88=0,0,B88/C88)</f>
        <v/>
      </c>
      <c r="E88" s="15">
        <f>SUM($B$3:B88)</f>
        <v/>
      </c>
      <c r="F88" s="16">
        <f>(SUM($D$3:D88)+$H$3)</f>
        <v/>
      </c>
    </row>
    <row r="89" ht="15.75" customHeight="1" s="33">
      <c r="A89" s="10" t="n">
        <v>87</v>
      </c>
      <c r="B89" s="10">
        <f>IF(A89&lt;=N_months, I_monthly, 0)</f>
        <v/>
      </c>
      <c r="C89" s="15">
        <f>SV*(1+g)^(A89/12)</f>
        <v/>
      </c>
      <c r="D89" s="16">
        <f>IF(B89=0,0,B89/C89)</f>
        <v/>
      </c>
      <c r="E89" s="15">
        <f>SUM($B$3:B89)</f>
        <v/>
      </c>
      <c r="F89" s="16">
        <f>(SUM($D$3:D89)+$H$3)</f>
        <v/>
      </c>
    </row>
    <row r="90" ht="15.75" customHeight="1" s="33">
      <c r="A90" s="10" t="n">
        <v>88</v>
      </c>
      <c r="B90" s="10">
        <f>IF(A90&lt;=N_months, I_monthly, 0)</f>
        <v/>
      </c>
      <c r="C90" s="15">
        <f>SV*(1+g)^(A90/12)</f>
        <v/>
      </c>
      <c r="D90" s="16">
        <f>IF(B90=0,0,B90/C90)</f>
        <v/>
      </c>
      <c r="E90" s="15">
        <f>SUM($B$3:B90)</f>
        <v/>
      </c>
      <c r="F90" s="16">
        <f>(SUM($D$3:D90)+$H$3)</f>
        <v/>
      </c>
    </row>
    <row r="91" ht="15.75" customHeight="1" s="33">
      <c r="A91" s="10" t="n">
        <v>89</v>
      </c>
      <c r="B91" s="10">
        <f>IF(A91&lt;=N_months, I_monthly, 0)</f>
        <v/>
      </c>
      <c r="C91" s="15">
        <f>SV*(1+g)^(A91/12)</f>
        <v/>
      </c>
      <c r="D91" s="16">
        <f>IF(B91=0,0,B91/C91)</f>
        <v/>
      </c>
      <c r="E91" s="15">
        <f>SUM($B$3:B91)</f>
        <v/>
      </c>
      <c r="F91" s="16">
        <f>(SUM($D$3:D91)+$H$3)</f>
        <v/>
      </c>
    </row>
    <row r="92" ht="15.75" customHeight="1" s="33">
      <c r="A92" s="10" t="n">
        <v>90</v>
      </c>
      <c r="B92" s="10">
        <f>IF(A92&lt;=N_months, I_monthly, 0)</f>
        <v/>
      </c>
      <c r="C92" s="15">
        <f>SV*(1+g)^(A92/12)</f>
        <v/>
      </c>
      <c r="D92" s="16">
        <f>IF(B92=0,0,B92/C92)</f>
        <v/>
      </c>
      <c r="E92" s="15">
        <f>SUM($B$3:B92)</f>
        <v/>
      </c>
      <c r="F92" s="16">
        <f>(SUM($D$3:D92)+$H$3)</f>
        <v/>
      </c>
    </row>
    <row r="93" ht="15.75" customHeight="1" s="33">
      <c r="A93" s="10" t="n">
        <v>91</v>
      </c>
      <c r="B93" s="10">
        <f>IF(A93&lt;=N_months, I_monthly, 0)</f>
        <v/>
      </c>
      <c r="C93" s="15">
        <f>SV*(1+g)^(A93/12)</f>
        <v/>
      </c>
      <c r="D93" s="16">
        <f>IF(B93=0,0,B93/C93)</f>
        <v/>
      </c>
      <c r="E93" s="15">
        <f>SUM($B$3:B93)</f>
        <v/>
      </c>
      <c r="F93" s="16">
        <f>(SUM($D$3:D93)+$H$3)</f>
        <v/>
      </c>
    </row>
    <row r="94" ht="15.75" customHeight="1" s="33">
      <c r="A94" s="10" t="n">
        <v>92</v>
      </c>
      <c r="B94" s="10">
        <f>IF(A94&lt;=N_months, I_monthly, 0)</f>
        <v/>
      </c>
      <c r="C94" s="15">
        <f>SV*(1+g)^(A94/12)</f>
        <v/>
      </c>
      <c r="D94" s="16">
        <f>IF(B94=0,0,B94/C94)</f>
        <v/>
      </c>
      <c r="E94" s="15">
        <f>SUM($B$3:B94)</f>
        <v/>
      </c>
      <c r="F94" s="16">
        <f>(SUM($D$3:D94)+$H$3)</f>
        <v/>
      </c>
    </row>
    <row r="95" ht="15.75" customHeight="1" s="33">
      <c r="A95" s="10" t="n">
        <v>93</v>
      </c>
      <c r="B95" s="10">
        <f>IF(A95&lt;=N_months, I_monthly, 0)</f>
        <v/>
      </c>
      <c r="C95" s="15">
        <f>SV*(1+g)^(A95/12)</f>
        <v/>
      </c>
      <c r="D95" s="16">
        <f>IF(B95=0,0,B95/C95)</f>
        <v/>
      </c>
      <c r="E95" s="15">
        <f>SUM($B$3:B95)</f>
        <v/>
      </c>
      <c r="F95" s="16">
        <f>(SUM($D$3:D95)+$H$3)</f>
        <v/>
      </c>
    </row>
    <row r="96" ht="15.75" customHeight="1" s="33">
      <c r="A96" s="10" t="n">
        <v>94</v>
      </c>
      <c r="B96" s="10">
        <f>IF(A96&lt;=N_months, I_monthly, 0)</f>
        <v/>
      </c>
      <c r="C96" s="15">
        <f>SV*(1+g)^(A96/12)</f>
        <v/>
      </c>
      <c r="D96" s="16">
        <f>IF(B96=0,0,B96/C96)</f>
        <v/>
      </c>
      <c r="E96" s="15">
        <f>SUM($B$3:B96)</f>
        <v/>
      </c>
      <c r="F96" s="16">
        <f>(SUM($D$3:D96)+$H$3)</f>
        <v/>
      </c>
    </row>
    <row r="97" ht="15.75" customHeight="1" s="33">
      <c r="A97" s="10" t="n">
        <v>95</v>
      </c>
      <c r="B97" s="10">
        <f>IF(A97&lt;=N_months, I_monthly, 0)</f>
        <v/>
      </c>
      <c r="C97" s="15">
        <f>SV*(1+g)^(A97/12)</f>
        <v/>
      </c>
      <c r="D97" s="16">
        <f>IF(B97=0,0,B97/C97)</f>
        <v/>
      </c>
      <c r="E97" s="15">
        <f>SUM($B$3:B97)</f>
        <v/>
      </c>
      <c r="F97" s="16">
        <f>(SUM($D$3:D97)+$H$3)</f>
        <v/>
      </c>
    </row>
    <row r="98" ht="15.75" customHeight="1" s="33">
      <c r="A98" s="10" t="n">
        <v>96</v>
      </c>
      <c r="B98" s="10">
        <f>IF(A98&lt;=N_months, I_monthly, 0)</f>
        <v/>
      </c>
      <c r="C98" s="15">
        <f>SV*(1+g)^(A98/12)</f>
        <v/>
      </c>
      <c r="D98" s="16">
        <f>IF(B98=0,0,B98/C98)</f>
        <v/>
      </c>
      <c r="E98" s="15">
        <f>SUM($B$3:B98)</f>
        <v/>
      </c>
      <c r="F98" s="16">
        <f>(SUM($D$3:D98)+$H$3)</f>
        <v/>
      </c>
    </row>
    <row r="99" ht="15.75" customHeight="1" s="33">
      <c r="A99" s="10" t="n">
        <v>97</v>
      </c>
      <c r="B99" s="10">
        <f>IF(A99&lt;=N_months, I_monthly, 0)</f>
        <v/>
      </c>
      <c r="C99" s="15">
        <f>SV*(1+g)^(A99/12)</f>
        <v/>
      </c>
      <c r="D99" s="16">
        <f>IF(B99=0,0,B99/C99)</f>
        <v/>
      </c>
      <c r="E99" s="15">
        <f>SUM($B$3:B99)</f>
        <v/>
      </c>
      <c r="F99" s="16">
        <f>(SUM($D$3:D99)+$H$3)</f>
        <v/>
      </c>
    </row>
    <row r="100" ht="15.75" customHeight="1" s="33">
      <c r="A100" s="10" t="n">
        <v>98</v>
      </c>
      <c r="B100" s="10">
        <f>IF(A100&lt;=N_months, I_monthly, 0)</f>
        <v/>
      </c>
      <c r="C100" s="15">
        <f>SV*(1+g)^(A100/12)</f>
        <v/>
      </c>
      <c r="D100" s="16">
        <f>IF(B100=0,0,B100/C100)</f>
        <v/>
      </c>
      <c r="E100" s="15">
        <f>SUM($B$3:B100)</f>
        <v/>
      </c>
      <c r="F100" s="16">
        <f>(SUM($D$3:D100)+$H$3)</f>
        <v/>
      </c>
    </row>
    <row r="101" ht="15.75" customHeight="1" s="33">
      <c r="A101" s="10" t="n">
        <v>99</v>
      </c>
      <c r="B101" s="10">
        <f>IF(A101&lt;=N_months, I_monthly, 0)</f>
        <v/>
      </c>
      <c r="C101" s="15">
        <f>SV*(1+g)^(A101/12)</f>
        <v/>
      </c>
      <c r="D101" s="16">
        <f>IF(B101=0,0,B101/C101)</f>
        <v/>
      </c>
      <c r="E101" s="15">
        <f>SUM($B$3:B101)</f>
        <v/>
      </c>
      <c r="F101" s="16">
        <f>(SUM($D$3:D101)+$H$3)</f>
        <v/>
      </c>
    </row>
    <row r="102" ht="15.75" customHeight="1" s="33">
      <c r="A102" s="10" t="n">
        <v>100</v>
      </c>
      <c r="B102" s="10">
        <f>IF(A102&lt;=N_months, I_monthly, 0)</f>
        <v/>
      </c>
      <c r="C102" s="15">
        <f>SV*(1+g)^(A102/12)</f>
        <v/>
      </c>
      <c r="D102" s="16">
        <f>IF(B102=0,0,B102/C102)</f>
        <v/>
      </c>
      <c r="E102" s="15">
        <f>SUM($B$3:B102)</f>
        <v/>
      </c>
      <c r="F102" s="16">
        <f>(SUM($D$3:D102)+$H$3)</f>
        <v/>
      </c>
    </row>
    <row r="103" ht="15.75" customHeight="1" s="33">
      <c r="A103" s="10" t="n">
        <v>101</v>
      </c>
      <c r="B103" s="10">
        <f>IF(A103&lt;=N_months, I_monthly, 0)</f>
        <v/>
      </c>
      <c r="C103" s="15">
        <f>SV*(1+g)^(A103/12)</f>
        <v/>
      </c>
      <c r="D103" s="16">
        <f>IF(B103=0,0,B103/C103)</f>
        <v/>
      </c>
      <c r="E103" s="15">
        <f>SUM($B$3:B103)</f>
        <v/>
      </c>
      <c r="F103" s="16">
        <f>(SUM($D$3:D103)+$H$3)</f>
        <v/>
      </c>
    </row>
    <row r="104" ht="15.75" customHeight="1" s="33">
      <c r="A104" s="10" t="n">
        <v>102</v>
      </c>
      <c r="B104" s="10">
        <f>IF(A104&lt;=N_months, I_monthly, 0)</f>
        <v/>
      </c>
      <c r="C104" s="15">
        <f>SV*(1+g)^(A104/12)</f>
        <v/>
      </c>
      <c r="D104" s="16">
        <f>IF(B104=0,0,B104/C104)</f>
        <v/>
      </c>
      <c r="E104" s="15">
        <f>SUM($B$3:B104)</f>
        <v/>
      </c>
      <c r="F104" s="16">
        <f>(SUM($D$3:D104)+$H$3)</f>
        <v/>
      </c>
    </row>
    <row r="105" ht="15.75" customHeight="1" s="33">
      <c r="A105" s="10" t="n">
        <v>103</v>
      </c>
      <c r="B105" s="10">
        <f>IF(A105&lt;=N_months, I_monthly, 0)</f>
        <v/>
      </c>
      <c r="C105" s="15">
        <f>SV*(1+g)^(A105/12)</f>
        <v/>
      </c>
      <c r="D105" s="16">
        <f>IF(B105=0,0,B105/C105)</f>
        <v/>
      </c>
      <c r="E105" s="15">
        <f>SUM($B$3:B105)</f>
        <v/>
      </c>
      <c r="F105" s="16">
        <f>(SUM($D$3:D105)+$H$3)</f>
        <v/>
      </c>
    </row>
    <row r="106" ht="15.75" customHeight="1" s="33">
      <c r="A106" s="10" t="n">
        <v>104</v>
      </c>
      <c r="B106" s="10">
        <f>IF(A106&lt;=N_months, I_monthly, 0)</f>
        <v/>
      </c>
      <c r="C106" s="15">
        <f>SV*(1+g)^(A106/12)</f>
        <v/>
      </c>
      <c r="D106" s="16">
        <f>IF(B106=0,0,B106/C106)</f>
        <v/>
      </c>
      <c r="E106" s="15">
        <f>SUM($B$3:B106)</f>
        <v/>
      </c>
      <c r="F106" s="16">
        <f>(SUM($D$3:D106)+$H$3)</f>
        <v/>
      </c>
    </row>
    <row r="107" ht="15.75" customHeight="1" s="33">
      <c r="A107" s="10" t="n">
        <v>105</v>
      </c>
      <c r="B107" s="10">
        <f>IF(A107&lt;=N_months, I_monthly, 0)</f>
        <v/>
      </c>
      <c r="C107" s="15">
        <f>SV*(1+g)^(A107/12)</f>
        <v/>
      </c>
      <c r="D107" s="16">
        <f>IF(B107=0,0,B107/C107)</f>
        <v/>
      </c>
      <c r="E107" s="15">
        <f>SUM($B$3:B107)</f>
        <v/>
      </c>
      <c r="F107" s="16">
        <f>(SUM($D$3:D107)+$H$3)</f>
        <v/>
      </c>
    </row>
    <row r="108" ht="15.75" customHeight="1" s="33">
      <c r="A108" s="10" t="n">
        <v>106</v>
      </c>
      <c r="B108" s="10">
        <f>IF(A108&lt;=N_months, I_monthly, 0)</f>
        <v/>
      </c>
      <c r="C108" s="15">
        <f>SV*(1+g)^(A108/12)</f>
        <v/>
      </c>
      <c r="D108" s="16">
        <f>IF(B108=0,0,B108/C108)</f>
        <v/>
      </c>
      <c r="E108" s="15">
        <f>SUM($B$3:B108)</f>
        <v/>
      </c>
      <c r="F108" s="16">
        <f>(SUM($D$3:D108)+$H$3)</f>
        <v/>
      </c>
    </row>
    <row r="109" ht="15.75" customHeight="1" s="33">
      <c r="A109" s="10" t="n">
        <v>107</v>
      </c>
      <c r="B109" s="10">
        <f>IF(A109&lt;=N_months, I_monthly, 0)</f>
        <v/>
      </c>
      <c r="C109" s="15">
        <f>SV*(1+g)^(A109/12)</f>
        <v/>
      </c>
      <c r="D109" s="16">
        <f>IF(B109=0,0,B109/C109)</f>
        <v/>
      </c>
      <c r="E109" s="15">
        <f>SUM($B$3:B109)</f>
        <v/>
      </c>
      <c r="F109" s="16">
        <f>(SUM($D$3:D109)+$H$3)</f>
        <v/>
      </c>
    </row>
    <row r="110" ht="15.75" customHeight="1" s="33">
      <c r="A110" s="10" t="n">
        <v>108</v>
      </c>
      <c r="B110" s="10">
        <f>IF(A110&lt;=N_months, I_monthly, 0)</f>
        <v/>
      </c>
      <c r="C110" s="15">
        <f>SV*(1+g)^(A110/12)</f>
        <v/>
      </c>
      <c r="D110" s="16">
        <f>IF(B110=0,0,B110/C110)</f>
        <v/>
      </c>
      <c r="E110" s="15">
        <f>SUM($B$3:B110)</f>
        <v/>
      </c>
      <c r="F110" s="16">
        <f>(SUM($D$3:D110)+$H$3)</f>
        <v/>
      </c>
    </row>
    <row r="111" ht="15.75" customHeight="1" s="33">
      <c r="A111" s="10" t="n">
        <v>109</v>
      </c>
      <c r="B111" s="10">
        <f>IF(A111&lt;=N_months, I_monthly, 0)</f>
        <v/>
      </c>
      <c r="C111" s="15">
        <f>SV*(1+g)^(A111/12)</f>
        <v/>
      </c>
      <c r="D111" s="16">
        <f>IF(B111=0,0,B111/C111)</f>
        <v/>
      </c>
      <c r="E111" s="15">
        <f>SUM($B$3:B111)</f>
        <v/>
      </c>
      <c r="F111" s="16">
        <f>(SUM($D$3:D111)+$H$3)</f>
        <v/>
      </c>
    </row>
    <row r="112" ht="15.75" customHeight="1" s="33">
      <c r="A112" s="10" t="n">
        <v>110</v>
      </c>
      <c r="B112" s="10">
        <f>IF(A112&lt;=N_months, I_monthly, 0)</f>
        <v/>
      </c>
      <c r="C112" s="15">
        <f>SV*(1+g)^(A112/12)</f>
        <v/>
      </c>
      <c r="D112" s="16">
        <f>IF(B112=0,0,B112/C112)</f>
        <v/>
      </c>
      <c r="E112" s="15">
        <f>SUM($B$3:B112)</f>
        <v/>
      </c>
      <c r="F112" s="16">
        <f>(SUM($D$3:D112)+$H$3)</f>
        <v/>
      </c>
    </row>
    <row r="113" ht="15.75" customHeight="1" s="33">
      <c r="A113" s="10" t="n">
        <v>111</v>
      </c>
      <c r="B113" s="10">
        <f>IF(A113&lt;=N_months, I_monthly, 0)</f>
        <v/>
      </c>
      <c r="C113" s="15">
        <f>SV*(1+g)^(A113/12)</f>
        <v/>
      </c>
      <c r="D113" s="16">
        <f>IF(B113=0,0,B113/C113)</f>
        <v/>
      </c>
      <c r="E113" s="15">
        <f>SUM($B$3:B113)</f>
        <v/>
      </c>
      <c r="F113" s="16">
        <f>(SUM($D$3:D113)+$H$3)</f>
        <v/>
      </c>
    </row>
    <row r="114" ht="15.75" customHeight="1" s="33">
      <c r="A114" s="10" t="n">
        <v>112</v>
      </c>
      <c r="B114" s="10">
        <f>IF(A114&lt;=N_months, I_monthly, 0)</f>
        <v/>
      </c>
      <c r="C114" s="15">
        <f>SV*(1+g)^(A114/12)</f>
        <v/>
      </c>
      <c r="D114" s="16">
        <f>IF(B114=0,0,B114/C114)</f>
        <v/>
      </c>
      <c r="E114" s="15">
        <f>SUM($B$3:B114)</f>
        <v/>
      </c>
      <c r="F114" s="16">
        <f>(SUM($D$3:D114)+$H$3)</f>
        <v/>
      </c>
    </row>
    <row r="115" ht="15.75" customHeight="1" s="33">
      <c r="A115" s="10" t="n">
        <v>113</v>
      </c>
      <c r="B115" s="10">
        <f>IF(A115&lt;=N_months, I_monthly, 0)</f>
        <v/>
      </c>
      <c r="C115" s="15">
        <f>SV*(1+g)^(A115/12)</f>
        <v/>
      </c>
      <c r="D115" s="16">
        <f>IF(B115=0,0,B115/C115)</f>
        <v/>
      </c>
      <c r="E115" s="15">
        <f>SUM($B$3:B115)</f>
        <v/>
      </c>
      <c r="F115" s="16">
        <f>(SUM($D$3:D115)+$H$3)</f>
        <v/>
      </c>
    </row>
    <row r="116" ht="15.75" customHeight="1" s="33">
      <c r="A116" s="10" t="n">
        <v>114</v>
      </c>
      <c r="B116" s="10">
        <f>IF(A116&lt;=N_months, I_monthly, 0)</f>
        <v/>
      </c>
      <c r="C116" s="15">
        <f>SV*(1+g)^(A116/12)</f>
        <v/>
      </c>
      <c r="D116" s="16">
        <f>IF(B116=0,0,B116/C116)</f>
        <v/>
      </c>
      <c r="E116" s="15">
        <f>SUM($B$3:B116)</f>
        <v/>
      </c>
      <c r="F116" s="16">
        <f>(SUM($D$3:D116)+$H$3)</f>
        <v/>
      </c>
    </row>
    <row r="117" ht="15.75" customHeight="1" s="33">
      <c r="A117" s="10" t="n">
        <v>115</v>
      </c>
      <c r="B117" s="10">
        <f>IF(A117&lt;=N_months, I_monthly, 0)</f>
        <v/>
      </c>
      <c r="C117" s="15">
        <f>SV*(1+g)^(A117/12)</f>
        <v/>
      </c>
      <c r="D117" s="16">
        <f>IF(B117=0,0,B117/C117)</f>
        <v/>
      </c>
      <c r="E117" s="15">
        <f>SUM($B$3:B117)</f>
        <v/>
      </c>
      <c r="F117" s="16">
        <f>(SUM($D$3:D117)+$H$3)</f>
        <v/>
      </c>
    </row>
    <row r="118" ht="15.75" customHeight="1" s="33">
      <c r="A118" s="10" t="n">
        <v>116</v>
      </c>
      <c r="B118" s="10">
        <f>IF(A118&lt;=N_months, I_monthly, 0)</f>
        <v/>
      </c>
      <c r="C118" s="15">
        <f>SV*(1+g)^(A118/12)</f>
        <v/>
      </c>
      <c r="D118" s="16">
        <f>IF(B118=0,0,B118/C118)</f>
        <v/>
      </c>
      <c r="E118" s="15">
        <f>SUM($B$3:B118)</f>
        <v/>
      </c>
      <c r="F118" s="16">
        <f>(SUM($D$3:D118)+$H$3)</f>
        <v/>
      </c>
    </row>
    <row r="119" ht="15.75" customHeight="1" s="33">
      <c r="A119" s="10" t="n">
        <v>117</v>
      </c>
      <c r="B119" s="10">
        <f>IF(A119&lt;=N_months, I_monthly, 0)</f>
        <v/>
      </c>
      <c r="C119" s="15">
        <f>SV*(1+g)^(A119/12)</f>
        <v/>
      </c>
      <c r="D119" s="16">
        <f>IF(B119=0,0,B119/C119)</f>
        <v/>
      </c>
      <c r="E119" s="15">
        <f>SUM($B$3:B119)</f>
        <v/>
      </c>
      <c r="F119" s="16">
        <f>(SUM($D$3:D119)+$H$3)</f>
        <v/>
      </c>
    </row>
    <row r="120" ht="15.75" customHeight="1" s="33">
      <c r="A120" s="10" t="n">
        <v>118</v>
      </c>
      <c r="B120" s="10">
        <f>IF(A120&lt;=N_months, I_monthly, 0)</f>
        <v/>
      </c>
      <c r="C120" s="15">
        <f>SV*(1+g)^(A120/12)</f>
        <v/>
      </c>
      <c r="D120" s="16">
        <f>IF(B120=0,0,B120/C120)</f>
        <v/>
      </c>
      <c r="E120" s="15">
        <f>SUM($B$3:B120)</f>
        <v/>
      </c>
      <c r="F120" s="16">
        <f>(SUM($D$3:D120)+$H$3)</f>
        <v/>
      </c>
    </row>
    <row r="121" ht="15.75" customHeight="1" s="33">
      <c r="A121" s="10" t="n">
        <v>119</v>
      </c>
      <c r="B121" s="10">
        <f>IF(A121&lt;=N_months, I_monthly, 0)</f>
        <v/>
      </c>
      <c r="C121" s="15">
        <f>SV*(1+g)^(A121/12)</f>
        <v/>
      </c>
      <c r="D121" s="16">
        <f>IF(B121=0,0,B121/C121)</f>
        <v/>
      </c>
      <c r="E121" s="15">
        <f>SUM($B$3:B121)</f>
        <v/>
      </c>
      <c r="F121" s="16">
        <f>(SUM($D$3:D121)+$H$3)</f>
        <v/>
      </c>
    </row>
    <row r="122" ht="15.75" customHeight="1" s="33">
      <c r="A122" s="10" t="n">
        <v>120</v>
      </c>
      <c r="B122" s="10">
        <f>IF(A122&lt;=N_months, I_monthly, 0)</f>
        <v/>
      </c>
      <c r="C122" s="15">
        <f>SV*(1+g)^(A122/12)</f>
        <v/>
      </c>
      <c r="D122" s="16">
        <f>IF(B122=0,0,B122/C122)</f>
        <v/>
      </c>
      <c r="E122" s="15">
        <f>SUM($B$3:B122)</f>
        <v/>
      </c>
      <c r="F122" s="16">
        <f>(SUM($D$3:D122)+$H$3)</f>
        <v/>
      </c>
    </row>
    <row r="123" ht="15.75" customHeight="1" s="33">
      <c r="A123" s="10" t="n">
        <v>121</v>
      </c>
      <c r="B123" s="10">
        <f>IF(A123&lt;=N_months, I_monthly, 0)</f>
        <v/>
      </c>
      <c r="C123" s="15">
        <f>SV*(1+g)^(A123/12)</f>
        <v/>
      </c>
      <c r="D123" s="16">
        <f>IF(B123=0,0,B123/C123)</f>
        <v/>
      </c>
      <c r="E123" s="15">
        <f>SUM($B$3:B123)</f>
        <v/>
      </c>
      <c r="F123" s="16">
        <f>(SUM($D$3:D123)+$H$3)</f>
        <v/>
      </c>
    </row>
    <row r="124" ht="15.75" customHeight="1" s="33">
      <c r="A124" s="10" t="n">
        <v>122</v>
      </c>
      <c r="B124" s="10">
        <f>IF(A124&lt;=N_months, I_monthly, 0)</f>
        <v/>
      </c>
      <c r="C124" s="15">
        <f>SV*(1+g)^(A124/12)</f>
        <v/>
      </c>
      <c r="D124" s="16">
        <f>IF(B124=0,0,B124/C124)</f>
        <v/>
      </c>
      <c r="E124" s="15">
        <f>SUM($B$3:B124)</f>
        <v/>
      </c>
      <c r="F124" s="16">
        <f>(SUM($D$3:D124)+$H$3)</f>
        <v/>
      </c>
    </row>
    <row r="125" ht="15.75" customHeight="1" s="33">
      <c r="A125" s="10" t="n">
        <v>123</v>
      </c>
      <c r="B125" s="10">
        <f>IF(A125&lt;=N_months, I_monthly, 0)</f>
        <v/>
      </c>
      <c r="C125" s="15">
        <f>SV*(1+g)^(A125/12)</f>
        <v/>
      </c>
      <c r="D125" s="16">
        <f>IF(B125=0,0,B125/C125)</f>
        <v/>
      </c>
      <c r="E125" s="15">
        <f>SUM($B$3:B125)</f>
        <v/>
      </c>
      <c r="F125" s="16">
        <f>(SUM($D$3:D125)+$H$3)</f>
        <v/>
      </c>
    </row>
    <row r="126" ht="15.75" customHeight="1" s="33">
      <c r="A126" s="10" t="n">
        <v>124</v>
      </c>
      <c r="B126" s="10">
        <f>IF(A126&lt;=N_months, I_monthly, 0)</f>
        <v/>
      </c>
      <c r="C126" s="15">
        <f>SV*(1+g)^(A126/12)</f>
        <v/>
      </c>
      <c r="D126" s="16">
        <f>IF(B126=0,0,B126/C126)</f>
        <v/>
      </c>
      <c r="E126" s="15">
        <f>SUM($B$3:B126)</f>
        <v/>
      </c>
      <c r="F126" s="16">
        <f>(SUM($D$3:D126)+$H$3)</f>
        <v/>
      </c>
    </row>
    <row r="127" ht="15.75" customHeight="1" s="33">
      <c r="A127" s="10" t="n">
        <v>125</v>
      </c>
      <c r="B127" s="10">
        <f>IF(A127&lt;=N_months, I_monthly, 0)</f>
        <v/>
      </c>
      <c r="C127" s="15">
        <f>SV*(1+g)^(A127/12)</f>
        <v/>
      </c>
      <c r="D127" s="16">
        <f>IF(B127=0,0,B127/C127)</f>
        <v/>
      </c>
      <c r="E127" s="15">
        <f>SUM($B$3:B127)</f>
        <v/>
      </c>
      <c r="F127" s="16">
        <f>(SUM($D$3:D127)+$H$3)</f>
        <v/>
      </c>
    </row>
    <row r="128" ht="15.75" customHeight="1" s="33">
      <c r="A128" s="10" t="n">
        <v>126</v>
      </c>
      <c r="B128" s="10">
        <f>IF(A128&lt;=N_months, I_monthly, 0)</f>
        <v/>
      </c>
      <c r="C128" s="15">
        <f>SV*(1+g)^(A128/12)</f>
        <v/>
      </c>
      <c r="D128" s="16">
        <f>IF(B128=0,0,B128/C128)</f>
        <v/>
      </c>
      <c r="E128" s="15">
        <f>SUM($B$3:B128)</f>
        <v/>
      </c>
      <c r="F128" s="16">
        <f>(SUM($D$3:D128)+$H$3)</f>
        <v/>
      </c>
    </row>
    <row r="129" ht="15.75" customHeight="1" s="33">
      <c r="A129" s="10" t="n">
        <v>127</v>
      </c>
      <c r="B129" s="10">
        <f>IF(A129&lt;=N_months, I_monthly, 0)</f>
        <v/>
      </c>
      <c r="C129" s="15">
        <f>SV*(1+g)^(A129/12)</f>
        <v/>
      </c>
      <c r="D129" s="16">
        <f>IF(B129=0,0,B129/C129)</f>
        <v/>
      </c>
      <c r="E129" s="15">
        <f>SUM($B$3:B129)</f>
        <v/>
      </c>
      <c r="F129" s="16">
        <f>(SUM($D$3:D129)+$H$3)</f>
        <v/>
      </c>
    </row>
    <row r="130" ht="15.75" customHeight="1" s="33">
      <c r="A130" s="10" t="n">
        <v>128</v>
      </c>
      <c r="B130" s="10">
        <f>IF(A130&lt;=N_months, I_monthly, 0)</f>
        <v/>
      </c>
      <c r="C130" s="15">
        <f>SV*(1+g)^(A130/12)</f>
        <v/>
      </c>
      <c r="D130" s="16">
        <f>IF(B130=0,0,B130/C130)</f>
        <v/>
      </c>
      <c r="E130" s="15">
        <f>SUM($B$3:B130)</f>
        <v/>
      </c>
      <c r="F130" s="16">
        <f>(SUM($D$3:D130)+$H$3)</f>
        <v/>
      </c>
    </row>
    <row r="131" ht="15.75" customHeight="1" s="33">
      <c r="A131" s="10" t="n">
        <v>129</v>
      </c>
      <c r="B131" s="10">
        <f>IF(A131&lt;=N_months, I_monthly, 0)</f>
        <v/>
      </c>
      <c r="C131" s="15">
        <f>SV*(1+g)^(A131/12)</f>
        <v/>
      </c>
      <c r="D131" s="16">
        <f>IF(B131=0,0,B131/C131)</f>
        <v/>
      </c>
      <c r="E131" s="15">
        <f>SUM($B$3:B131)</f>
        <v/>
      </c>
      <c r="F131" s="16">
        <f>(SUM($D$3:D131)+$H$3)</f>
        <v/>
      </c>
    </row>
    <row r="132" ht="15.75" customHeight="1" s="33">
      <c r="A132" s="10" t="n">
        <v>130</v>
      </c>
      <c r="B132" s="10">
        <f>IF(A132&lt;=N_months, I_monthly, 0)</f>
        <v/>
      </c>
      <c r="C132" s="15">
        <f>SV*(1+g)^(A132/12)</f>
        <v/>
      </c>
      <c r="D132" s="16">
        <f>IF(B132=0,0,B132/C132)</f>
        <v/>
      </c>
      <c r="E132" s="15">
        <f>SUM($B$3:B132)</f>
        <v/>
      </c>
      <c r="F132" s="16">
        <f>(SUM($D$3:D132)+$H$3)</f>
        <v/>
      </c>
    </row>
    <row r="133" ht="15.75" customHeight="1" s="33">
      <c r="A133" s="10" t="n">
        <v>131</v>
      </c>
      <c r="B133" s="10">
        <f>IF(A133&lt;=N_months, I_monthly, 0)</f>
        <v/>
      </c>
      <c r="C133" s="15">
        <f>SV*(1+g)^(A133/12)</f>
        <v/>
      </c>
      <c r="D133" s="16">
        <f>IF(B133=0,0,B133/C133)</f>
        <v/>
      </c>
      <c r="E133" s="15">
        <f>SUM($B$3:B133)</f>
        <v/>
      </c>
      <c r="F133" s="16">
        <f>(SUM($D$3:D133)+$H$3)</f>
        <v/>
      </c>
    </row>
    <row r="134" ht="15.75" customHeight="1" s="33">
      <c r="A134" s="10" t="n">
        <v>132</v>
      </c>
      <c r="B134" s="10">
        <f>IF(A134&lt;=N_months, I_monthly, 0)</f>
        <v/>
      </c>
      <c r="C134" s="15">
        <f>SV*(1+g)^(A134/12)</f>
        <v/>
      </c>
      <c r="D134" s="16">
        <f>IF(B134=0,0,B134/C134)</f>
        <v/>
      </c>
      <c r="E134" s="15">
        <f>SUM($B$3:B134)</f>
        <v/>
      </c>
      <c r="F134" s="16">
        <f>(SUM($D$3:D134)+$H$3)</f>
        <v/>
      </c>
    </row>
    <row r="135" ht="15.75" customHeight="1" s="33">
      <c r="A135" s="10" t="n">
        <v>133</v>
      </c>
      <c r="B135" s="10">
        <f>IF(A135&lt;=N_months, I_monthly, 0)</f>
        <v/>
      </c>
      <c r="C135" s="15">
        <f>SV*(1+g)^(A135/12)</f>
        <v/>
      </c>
      <c r="D135" s="16">
        <f>IF(B135=0,0,B135/C135)</f>
        <v/>
      </c>
      <c r="E135" s="15">
        <f>SUM($B$3:B135)</f>
        <v/>
      </c>
      <c r="F135" s="16">
        <f>(SUM($D$3:D135)+$H$3)</f>
        <v/>
      </c>
    </row>
    <row r="136" ht="15.75" customHeight="1" s="33">
      <c r="A136" s="10" t="n">
        <v>134</v>
      </c>
      <c r="B136" s="10">
        <f>IF(A136&lt;=N_months, I_monthly, 0)</f>
        <v/>
      </c>
      <c r="C136" s="15">
        <f>SV*(1+g)^(A136/12)</f>
        <v/>
      </c>
      <c r="D136" s="16">
        <f>IF(B136=0,0,B136/C136)</f>
        <v/>
      </c>
      <c r="E136" s="15">
        <f>SUM($B$3:B136)</f>
        <v/>
      </c>
      <c r="F136" s="16">
        <f>(SUM($D$3:D136)+$H$3)</f>
        <v/>
      </c>
    </row>
    <row r="137" ht="15.75" customHeight="1" s="33">
      <c r="A137" s="10" t="n">
        <v>135</v>
      </c>
      <c r="B137" s="10">
        <f>IF(A137&lt;=N_months, I_monthly, 0)</f>
        <v/>
      </c>
      <c r="C137" s="15">
        <f>SV*(1+g)^(A137/12)</f>
        <v/>
      </c>
      <c r="D137" s="16">
        <f>IF(B137=0,0,B137/C137)</f>
        <v/>
      </c>
      <c r="E137" s="15">
        <f>SUM($B$3:B137)</f>
        <v/>
      </c>
      <c r="F137" s="16">
        <f>(SUM($D$3:D137)+$H$3)</f>
        <v/>
      </c>
    </row>
    <row r="138" ht="15.75" customHeight="1" s="33">
      <c r="A138" s="10" t="n">
        <v>136</v>
      </c>
      <c r="B138" s="10">
        <f>IF(A138&lt;=N_months, I_monthly, 0)</f>
        <v/>
      </c>
      <c r="C138" s="15">
        <f>SV*(1+g)^(A138/12)</f>
        <v/>
      </c>
      <c r="D138" s="16">
        <f>IF(B138=0,0,B138/C138)</f>
        <v/>
      </c>
      <c r="E138" s="15">
        <f>SUM($B$3:B138)</f>
        <v/>
      </c>
      <c r="F138" s="16">
        <f>(SUM($D$3:D138)+$H$3)</f>
        <v/>
      </c>
    </row>
    <row r="139" ht="15.75" customHeight="1" s="33">
      <c r="A139" s="10" t="n">
        <v>137</v>
      </c>
      <c r="B139" s="10">
        <f>IF(A139&lt;=N_months, I_monthly, 0)</f>
        <v/>
      </c>
      <c r="C139" s="15">
        <f>SV*(1+g)^(A139/12)</f>
        <v/>
      </c>
      <c r="D139" s="16">
        <f>IF(B139=0,0,B139/C139)</f>
        <v/>
      </c>
      <c r="E139" s="15">
        <f>SUM($B$3:B139)</f>
        <v/>
      </c>
      <c r="F139" s="16">
        <f>(SUM($D$3:D139)+$H$3)</f>
        <v/>
      </c>
    </row>
    <row r="140" ht="15.75" customHeight="1" s="33">
      <c r="A140" s="10" t="n">
        <v>138</v>
      </c>
      <c r="B140" s="10">
        <f>IF(A140&lt;=N_months, I_monthly, 0)</f>
        <v/>
      </c>
      <c r="C140" s="15">
        <f>SV*(1+g)^(A140/12)</f>
        <v/>
      </c>
      <c r="D140" s="16">
        <f>IF(B140=0,0,B140/C140)</f>
        <v/>
      </c>
      <c r="E140" s="15">
        <f>SUM($B$3:B140)</f>
        <v/>
      </c>
      <c r="F140" s="16">
        <f>(SUM($D$3:D140)+$H$3)</f>
        <v/>
      </c>
    </row>
    <row r="141" ht="15.75" customHeight="1" s="33">
      <c r="A141" s="10" t="n">
        <v>139</v>
      </c>
      <c r="B141" s="10">
        <f>IF(A141&lt;=N_months, I_monthly, 0)</f>
        <v/>
      </c>
      <c r="C141" s="15">
        <f>SV*(1+g)^(A141/12)</f>
        <v/>
      </c>
      <c r="D141" s="16">
        <f>IF(B141=0,0,B141/C141)</f>
        <v/>
      </c>
      <c r="E141" s="15">
        <f>SUM($B$3:B141)</f>
        <v/>
      </c>
      <c r="F141" s="16">
        <f>(SUM($D$3:D141)+$H$3)</f>
        <v/>
      </c>
    </row>
    <row r="142" ht="15.75" customHeight="1" s="33">
      <c r="A142" s="10" t="n">
        <v>140</v>
      </c>
      <c r="B142" s="10">
        <f>IF(A142&lt;=N_months, I_monthly, 0)</f>
        <v/>
      </c>
      <c r="C142" s="15">
        <f>SV*(1+g)^(A142/12)</f>
        <v/>
      </c>
      <c r="D142" s="16">
        <f>IF(B142=0,0,B142/C142)</f>
        <v/>
      </c>
      <c r="E142" s="15">
        <f>SUM($B$3:B142)</f>
        <v/>
      </c>
      <c r="F142" s="16">
        <f>(SUM($D$3:D142)+$H$3)</f>
        <v/>
      </c>
    </row>
    <row r="143" ht="15.75" customHeight="1" s="33">
      <c r="A143" s="10" t="n">
        <v>141</v>
      </c>
      <c r="B143" s="10">
        <f>IF(A143&lt;=N_months, I_monthly, 0)</f>
        <v/>
      </c>
      <c r="C143" s="15">
        <f>SV*(1+g)^(A143/12)</f>
        <v/>
      </c>
      <c r="D143" s="16">
        <f>IF(B143=0,0,B143/C143)</f>
        <v/>
      </c>
      <c r="E143" s="15">
        <f>SUM($B$3:B143)</f>
        <v/>
      </c>
      <c r="F143" s="16">
        <f>(SUM($D$3:D143)+$H$3)</f>
        <v/>
      </c>
    </row>
    <row r="144" ht="15.75" customHeight="1" s="33">
      <c r="A144" s="10" t="n">
        <v>142</v>
      </c>
      <c r="B144" s="10">
        <f>IF(A144&lt;=N_months, I_monthly, 0)</f>
        <v/>
      </c>
      <c r="C144" s="15">
        <f>SV*(1+g)^(A144/12)</f>
        <v/>
      </c>
      <c r="D144" s="16">
        <f>IF(B144=0,0,B144/C144)</f>
        <v/>
      </c>
      <c r="E144" s="15">
        <f>SUM($B$3:B144)</f>
        <v/>
      </c>
      <c r="F144" s="16">
        <f>(SUM($D$3:D144)+$H$3)</f>
        <v/>
      </c>
    </row>
    <row r="145" ht="15.75" customHeight="1" s="33">
      <c r="A145" s="10" t="n">
        <v>143</v>
      </c>
      <c r="B145" s="10">
        <f>IF(A145&lt;=N_months, I_monthly, 0)</f>
        <v/>
      </c>
      <c r="C145" s="15">
        <f>SV*(1+g)^(A145/12)</f>
        <v/>
      </c>
      <c r="D145" s="16">
        <f>IF(B145=0,0,B145/C145)</f>
        <v/>
      </c>
      <c r="E145" s="15">
        <f>SUM($B$3:B145)</f>
        <v/>
      </c>
      <c r="F145" s="16">
        <f>(SUM($D$3:D145)+$H$3)</f>
        <v/>
      </c>
    </row>
    <row r="146" ht="15.75" customHeight="1" s="33">
      <c r="A146" s="10" t="n">
        <v>144</v>
      </c>
      <c r="B146" s="10">
        <f>IF(A146&lt;=N_months, I_monthly, 0)</f>
        <v/>
      </c>
      <c r="C146" s="15">
        <f>SV*(1+g)^(A146/12)</f>
        <v/>
      </c>
      <c r="D146" s="16">
        <f>IF(B146=0,0,B146/C146)</f>
        <v/>
      </c>
      <c r="E146" s="15">
        <f>SUM($B$3:B146)</f>
        <v/>
      </c>
      <c r="F146" s="16">
        <f>(SUM($D$3:D146)+$H$3)</f>
        <v/>
      </c>
    </row>
    <row r="147" ht="15.75" customHeight="1" s="33">
      <c r="A147" s="10" t="n">
        <v>145</v>
      </c>
      <c r="B147" s="10">
        <f>IF(A147&lt;=N_months, I_monthly, 0)</f>
        <v/>
      </c>
      <c r="C147" s="15">
        <f>SV*(1+g)^(A147/12)</f>
        <v/>
      </c>
      <c r="D147" s="16">
        <f>IF(B147=0,0,B147/C147)</f>
        <v/>
      </c>
      <c r="E147" s="15">
        <f>SUM($B$3:B147)</f>
        <v/>
      </c>
      <c r="F147" s="16">
        <f>(SUM($D$3:D147)+$H$3)</f>
        <v/>
      </c>
    </row>
    <row r="148" ht="15.75" customHeight="1" s="33">
      <c r="A148" s="10" t="n">
        <v>146</v>
      </c>
      <c r="B148" s="10">
        <f>IF(A148&lt;=N_months, I_monthly, 0)</f>
        <v/>
      </c>
      <c r="C148" s="15">
        <f>SV*(1+g)^(A148/12)</f>
        <v/>
      </c>
      <c r="D148" s="16">
        <f>IF(B148=0,0,B148/C148)</f>
        <v/>
      </c>
      <c r="E148" s="15">
        <f>SUM($B$3:B148)</f>
        <v/>
      </c>
      <c r="F148" s="16">
        <f>(SUM($D$3:D148)+$H$3)</f>
        <v/>
      </c>
    </row>
    <row r="149" ht="15.75" customHeight="1" s="33">
      <c r="A149" s="10" t="n">
        <v>147</v>
      </c>
      <c r="B149" s="10">
        <f>IF(A149&lt;=N_months, I_monthly, 0)</f>
        <v/>
      </c>
      <c r="C149" s="15">
        <f>SV*(1+g)^(A149/12)</f>
        <v/>
      </c>
      <c r="D149" s="16">
        <f>IF(B149=0,0,B149/C149)</f>
        <v/>
      </c>
      <c r="E149" s="15">
        <f>SUM($B$3:B149)</f>
        <v/>
      </c>
      <c r="F149" s="16">
        <f>(SUM($D$3:D149)+$H$3)</f>
        <v/>
      </c>
    </row>
    <row r="150" ht="15.75" customHeight="1" s="33">
      <c r="A150" s="10" t="n">
        <v>148</v>
      </c>
      <c r="B150" s="10">
        <f>IF(A150&lt;=N_months, I_monthly, 0)</f>
        <v/>
      </c>
      <c r="C150" s="15">
        <f>SV*(1+g)^(A150/12)</f>
        <v/>
      </c>
      <c r="D150" s="16">
        <f>IF(B150=0,0,B150/C150)</f>
        <v/>
      </c>
      <c r="E150" s="15">
        <f>SUM($B$3:B150)</f>
        <v/>
      </c>
      <c r="F150" s="16">
        <f>(SUM($D$3:D150)+$H$3)</f>
        <v/>
      </c>
    </row>
    <row r="151" ht="15.75" customHeight="1" s="33">
      <c r="A151" s="10" t="n">
        <v>149</v>
      </c>
      <c r="B151" s="10">
        <f>IF(A151&lt;=N_months, I_monthly, 0)</f>
        <v/>
      </c>
      <c r="C151" s="15">
        <f>SV*(1+g)^(A151/12)</f>
        <v/>
      </c>
      <c r="D151" s="16">
        <f>IF(B151=0,0,B151/C151)</f>
        <v/>
      </c>
      <c r="E151" s="15">
        <f>SUM($B$3:B151)</f>
        <v/>
      </c>
      <c r="F151" s="16">
        <f>(SUM($D$3:D151)+$H$3)</f>
        <v/>
      </c>
    </row>
    <row r="152" ht="15.75" customHeight="1" s="33">
      <c r="A152" s="10" t="n">
        <v>150</v>
      </c>
      <c r="B152" s="10">
        <f>IF(A152&lt;=N_months, I_monthly, 0)</f>
        <v/>
      </c>
      <c r="C152" s="15">
        <f>SV*(1+g)^(A152/12)</f>
        <v/>
      </c>
      <c r="D152" s="16">
        <f>IF(B152=0,0,B152/C152)</f>
        <v/>
      </c>
      <c r="E152" s="15">
        <f>SUM($B$3:B152)</f>
        <v/>
      </c>
      <c r="F152" s="16">
        <f>(SUM($D$3:D152)+$H$3)</f>
        <v/>
      </c>
    </row>
    <row r="153" ht="15.75" customHeight="1" s="33">
      <c r="A153" s="10" t="n">
        <v>151</v>
      </c>
      <c r="B153" s="10">
        <f>IF(A153&lt;=N_months, I_monthly, 0)</f>
        <v/>
      </c>
      <c r="C153" s="15">
        <f>SV*(1+g)^(A153/12)</f>
        <v/>
      </c>
      <c r="D153" s="16">
        <f>IF(B153=0,0,B153/C153)</f>
        <v/>
      </c>
      <c r="E153" s="15">
        <f>SUM($B$3:B153)</f>
        <v/>
      </c>
      <c r="F153" s="16">
        <f>(SUM($D$3:D153)+$H$3)</f>
        <v/>
      </c>
    </row>
    <row r="154" ht="15.75" customHeight="1" s="33">
      <c r="A154" s="10" t="n">
        <v>152</v>
      </c>
      <c r="B154" s="10">
        <f>IF(A154&lt;=N_months, I_monthly, 0)</f>
        <v/>
      </c>
      <c r="C154" s="15">
        <f>SV*(1+g)^(A154/12)</f>
        <v/>
      </c>
      <c r="D154" s="16">
        <f>IF(B154=0,0,B154/C154)</f>
        <v/>
      </c>
      <c r="E154" s="15">
        <f>SUM($B$3:B154)</f>
        <v/>
      </c>
      <c r="F154" s="16">
        <f>(SUM($D$3:D154)+$H$3)</f>
        <v/>
      </c>
    </row>
    <row r="155" ht="15.75" customHeight="1" s="33">
      <c r="A155" s="10" t="n">
        <v>153</v>
      </c>
      <c r="B155" s="10">
        <f>IF(A155&lt;=N_months, I_monthly, 0)</f>
        <v/>
      </c>
      <c r="C155" s="15">
        <f>SV*(1+g)^(A155/12)</f>
        <v/>
      </c>
      <c r="D155" s="16">
        <f>IF(B155=0,0,B155/C155)</f>
        <v/>
      </c>
      <c r="E155" s="15">
        <f>SUM($B$3:B155)</f>
        <v/>
      </c>
      <c r="F155" s="16">
        <f>(SUM($D$3:D155)+$H$3)</f>
        <v/>
      </c>
    </row>
    <row r="156" ht="15.75" customHeight="1" s="33">
      <c r="A156" s="10" t="n">
        <v>154</v>
      </c>
      <c r="B156" s="10">
        <f>IF(A156&lt;=N_months, I_monthly, 0)</f>
        <v/>
      </c>
      <c r="C156" s="15">
        <f>SV*(1+g)^(A156/12)</f>
        <v/>
      </c>
      <c r="D156" s="16">
        <f>IF(B156=0,0,B156/C156)</f>
        <v/>
      </c>
      <c r="E156" s="15">
        <f>SUM($B$3:B156)</f>
        <v/>
      </c>
      <c r="F156" s="16">
        <f>(SUM($D$3:D156)+$H$3)</f>
        <v/>
      </c>
    </row>
    <row r="157" ht="15.75" customHeight="1" s="33">
      <c r="A157" s="10" t="n">
        <v>155</v>
      </c>
      <c r="B157" s="10">
        <f>IF(A157&lt;=N_months, I_monthly, 0)</f>
        <v/>
      </c>
      <c r="C157" s="15">
        <f>SV*(1+g)^(A157/12)</f>
        <v/>
      </c>
      <c r="D157" s="16">
        <f>IF(B157=0,0,B157/C157)</f>
        <v/>
      </c>
      <c r="E157" s="15">
        <f>SUM($B$3:B157)</f>
        <v/>
      </c>
      <c r="F157" s="16">
        <f>(SUM($D$3:D157)+$H$3)</f>
        <v/>
      </c>
    </row>
    <row r="158" ht="15.75" customHeight="1" s="33">
      <c r="A158" s="10" t="n">
        <v>156</v>
      </c>
      <c r="B158" s="10">
        <f>IF(A158&lt;=N_months, I_monthly, 0)</f>
        <v/>
      </c>
      <c r="C158" s="15">
        <f>SV*(1+g)^(A158/12)</f>
        <v/>
      </c>
      <c r="D158" s="16">
        <f>IF(B158=0,0,B158/C158)</f>
        <v/>
      </c>
      <c r="E158" s="15">
        <f>SUM($B$3:B158)</f>
        <v/>
      </c>
      <c r="F158" s="16">
        <f>(SUM($D$3:D158)+$H$3)</f>
        <v/>
      </c>
    </row>
    <row r="159" ht="15.75" customHeight="1" s="33">
      <c r="A159" s="10" t="n">
        <v>157</v>
      </c>
      <c r="B159" s="10">
        <f>IF(A159&lt;=N_months, I_monthly, 0)</f>
        <v/>
      </c>
      <c r="C159" s="15">
        <f>SV*(1+g)^(A159/12)</f>
        <v/>
      </c>
      <c r="D159" s="16">
        <f>IF(B159=0,0,B159/C159)</f>
        <v/>
      </c>
      <c r="E159" s="15">
        <f>SUM($B$3:B159)</f>
        <v/>
      </c>
      <c r="F159" s="16">
        <f>(SUM($D$3:D159)+$H$3)</f>
        <v/>
      </c>
    </row>
    <row r="160" ht="15.75" customHeight="1" s="33">
      <c r="A160" s="10" t="n">
        <v>158</v>
      </c>
      <c r="B160" s="10">
        <f>IF(A160&lt;=N_months, I_monthly, 0)</f>
        <v/>
      </c>
      <c r="C160" s="15">
        <f>SV*(1+g)^(A160/12)</f>
        <v/>
      </c>
      <c r="D160" s="16">
        <f>IF(B160=0,0,B160/C160)</f>
        <v/>
      </c>
      <c r="E160" s="15">
        <f>SUM($B$3:B160)</f>
        <v/>
      </c>
      <c r="F160" s="16">
        <f>(SUM($D$3:D160)+$H$3)</f>
        <v/>
      </c>
    </row>
    <row r="161" ht="15.75" customHeight="1" s="33">
      <c r="A161" s="10" t="n">
        <v>159</v>
      </c>
      <c r="B161" s="10">
        <f>IF(A161&lt;=N_months, I_monthly, 0)</f>
        <v/>
      </c>
      <c r="C161" s="15">
        <f>SV*(1+g)^(A161/12)</f>
        <v/>
      </c>
      <c r="D161" s="16">
        <f>IF(B161=0,0,B161/C161)</f>
        <v/>
      </c>
      <c r="E161" s="15">
        <f>SUM($B$3:B161)</f>
        <v/>
      </c>
      <c r="F161" s="16">
        <f>(SUM($D$3:D161)+$H$3)</f>
        <v/>
      </c>
    </row>
    <row r="162" ht="15.75" customHeight="1" s="33">
      <c r="A162" s="10" t="n">
        <v>160</v>
      </c>
      <c r="B162" s="10">
        <f>IF(A162&lt;=N_months, I_monthly, 0)</f>
        <v/>
      </c>
      <c r="C162" s="15">
        <f>SV*(1+g)^(A162/12)</f>
        <v/>
      </c>
      <c r="D162" s="16">
        <f>IF(B162=0,0,B162/C162)</f>
        <v/>
      </c>
      <c r="E162" s="15">
        <f>SUM($B$3:B162)</f>
        <v/>
      </c>
      <c r="F162" s="16">
        <f>(SUM($D$3:D162)+$H$3)</f>
        <v/>
      </c>
    </row>
    <row r="163" ht="15.75" customHeight="1" s="33">
      <c r="A163" s="10" t="n">
        <v>161</v>
      </c>
      <c r="B163" s="10">
        <f>IF(A163&lt;=N_months, I_monthly, 0)</f>
        <v/>
      </c>
      <c r="C163" s="15">
        <f>SV*(1+g)^(A163/12)</f>
        <v/>
      </c>
      <c r="D163" s="16">
        <f>IF(B163=0,0,B163/C163)</f>
        <v/>
      </c>
      <c r="E163" s="15">
        <f>SUM($B$3:B163)</f>
        <v/>
      </c>
      <c r="F163" s="16">
        <f>(SUM($D$3:D163)+$H$3)</f>
        <v/>
      </c>
    </row>
    <row r="164" ht="15.75" customHeight="1" s="33">
      <c r="A164" s="10" t="n">
        <v>162</v>
      </c>
      <c r="B164" s="10">
        <f>IF(A164&lt;=N_months, I_monthly, 0)</f>
        <v/>
      </c>
      <c r="C164" s="15">
        <f>SV*(1+g)^(A164/12)</f>
        <v/>
      </c>
      <c r="D164" s="16">
        <f>IF(B164=0,0,B164/C164)</f>
        <v/>
      </c>
      <c r="E164" s="15">
        <f>SUM($B$3:B164)</f>
        <v/>
      </c>
      <c r="F164" s="16">
        <f>(SUM($D$3:D164)+$H$3)</f>
        <v/>
      </c>
    </row>
    <row r="165" ht="15.75" customHeight="1" s="33">
      <c r="A165" s="10" t="n">
        <v>163</v>
      </c>
      <c r="B165" s="10">
        <f>IF(A165&lt;=N_months, I_monthly, 0)</f>
        <v/>
      </c>
      <c r="C165" s="15">
        <f>SV*(1+g)^(A165/12)</f>
        <v/>
      </c>
      <c r="D165" s="16">
        <f>IF(B165=0,0,B165/C165)</f>
        <v/>
      </c>
      <c r="E165" s="15">
        <f>SUM($B$3:B165)</f>
        <v/>
      </c>
      <c r="F165" s="16">
        <f>(SUM($D$3:D165)+$H$3)</f>
        <v/>
      </c>
    </row>
    <row r="166" ht="15.75" customHeight="1" s="33">
      <c r="A166" s="10" t="n">
        <v>164</v>
      </c>
      <c r="B166" s="10">
        <f>IF(A166&lt;=N_months, I_monthly, 0)</f>
        <v/>
      </c>
      <c r="C166" s="15">
        <f>SV*(1+g)^(A166/12)</f>
        <v/>
      </c>
      <c r="D166" s="16">
        <f>IF(B166=0,0,B166/C166)</f>
        <v/>
      </c>
      <c r="E166" s="15">
        <f>SUM($B$3:B166)</f>
        <v/>
      </c>
      <c r="F166" s="16">
        <f>(SUM($D$3:D166)+$H$3)</f>
        <v/>
      </c>
    </row>
    <row r="167" ht="15.75" customHeight="1" s="33">
      <c r="A167" s="10" t="n">
        <v>165</v>
      </c>
      <c r="B167" s="10">
        <f>IF(A167&lt;=N_months, I_monthly, 0)</f>
        <v/>
      </c>
      <c r="C167" s="15">
        <f>SV*(1+g)^(A167/12)</f>
        <v/>
      </c>
      <c r="D167" s="16">
        <f>IF(B167=0,0,B167/C167)</f>
        <v/>
      </c>
      <c r="E167" s="15">
        <f>SUM($B$3:B167)</f>
        <v/>
      </c>
      <c r="F167" s="16">
        <f>(SUM($D$3:D167)+$H$3)</f>
        <v/>
      </c>
    </row>
    <row r="168" ht="15.75" customHeight="1" s="33">
      <c r="A168" s="10" t="n">
        <v>166</v>
      </c>
      <c r="B168" s="10">
        <f>IF(A168&lt;=N_months, I_monthly, 0)</f>
        <v/>
      </c>
      <c r="C168" s="15">
        <f>SV*(1+g)^(A168/12)</f>
        <v/>
      </c>
      <c r="D168" s="16">
        <f>IF(B168=0,0,B168/C168)</f>
        <v/>
      </c>
      <c r="E168" s="15">
        <f>SUM($B$3:B168)</f>
        <v/>
      </c>
      <c r="F168" s="16">
        <f>(SUM($D$3:D168)+$H$3)</f>
        <v/>
      </c>
    </row>
    <row r="169" ht="15.75" customHeight="1" s="33">
      <c r="A169" s="10" t="n">
        <v>167</v>
      </c>
      <c r="B169" s="10">
        <f>IF(A169&lt;=N_months, I_monthly, 0)</f>
        <v/>
      </c>
      <c r="C169" s="15">
        <f>SV*(1+g)^(A169/12)</f>
        <v/>
      </c>
      <c r="D169" s="16">
        <f>IF(B169=0,0,B169/C169)</f>
        <v/>
      </c>
      <c r="E169" s="15">
        <f>SUM($B$3:B169)</f>
        <v/>
      </c>
      <c r="F169" s="16">
        <f>(SUM($D$3:D169)+$H$3)</f>
        <v/>
      </c>
    </row>
    <row r="170" ht="15.75" customHeight="1" s="33">
      <c r="A170" s="10" t="n">
        <v>168</v>
      </c>
      <c r="B170" s="10">
        <f>IF(A170&lt;=N_months, I_monthly, 0)</f>
        <v/>
      </c>
      <c r="C170" s="15">
        <f>SV*(1+g)^(A170/12)</f>
        <v/>
      </c>
      <c r="D170" s="16">
        <f>IF(B170=0,0,B170/C170)</f>
        <v/>
      </c>
      <c r="E170" s="15">
        <f>SUM($B$3:B170)</f>
        <v/>
      </c>
      <c r="F170" s="16">
        <f>(SUM($D$3:D170)+$H$3)</f>
        <v/>
      </c>
    </row>
    <row r="171" ht="15.75" customHeight="1" s="33">
      <c r="A171" s="10" t="n">
        <v>169</v>
      </c>
      <c r="B171" s="10">
        <f>IF(A171&lt;=N_months, I_monthly, 0)</f>
        <v/>
      </c>
      <c r="C171" s="15">
        <f>SV*(1+g)^(A171/12)</f>
        <v/>
      </c>
      <c r="D171" s="16">
        <f>IF(B171=0,0,B171/C171)</f>
        <v/>
      </c>
      <c r="E171" s="15">
        <f>SUM($B$3:B171)</f>
        <v/>
      </c>
      <c r="F171" s="16">
        <f>(SUM($D$3:D171)+$H$3)</f>
        <v/>
      </c>
    </row>
    <row r="172" ht="15.75" customHeight="1" s="33">
      <c r="A172" s="10" t="n">
        <v>170</v>
      </c>
      <c r="B172" s="10">
        <f>IF(A172&lt;=N_months, I_monthly, 0)</f>
        <v/>
      </c>
      <c r="C172" s="15">
        <f>SV*(1+g)^(A172/12)</f>
        <v/>
      </c>
      <c r="D172" s="16">
        <f>IF(B172=0,0,B172/C172)</f>
        <v/>
      </c>
      <c r="E172" s="15">
        <f>SUM($B$3:B172)</f>
        <v/>
      </c>
      <c r="F172" s="16">
        <f>(SUM($D$3:D172)+$H$3)</f>
        <v/>
      </c>
    </row>
    <row r="173" ht="15.75" customHeight="1" s="33">
      <c r="A173" s="10" t="n">
        <v>171</v>
      </c>
      <c r="B173" s="10">
        <f>IF(A173&lt;=N_months, I_monthly, 0)</f>
        <v/>
      </c>
      <c r="C173" s="15">
        <f>SV*(1+g)^(A173/12)</f>
        <v/>
      </c>
      <c r="D173" s="16">
        <f>IF(B173=0,0,B173/C173)</f>
        <v/>
      </c>
      <c r="E173" s="15">
        <f>SUM($B$3:B173)</f>
        <v/>
      </c>
      <c r="F173" s="16">
        <f>(SUM($D$3:D173)+$H$3)</f>
        <v/>
      </c>
    </row>
    <row r="174" ht="15.75" customHeight="1" s="33">
      <c r="A174" s="10" t="n">
        <v>172</v>
      </c>
      <c r="B174" s="10">
        <f>IF(A174&lt;=N_months, I_monthly, 0)</f>
        <v/>
      </c>
      <c r="C174" s="15">
        <f>SV*(1+g)^(A174/12)</f>
        <v/>
      </c>
      <c r="D174" s="16">
        <f>IF(B174=0,0,B174/C174)</f>
        <v/>
      </c>
      <c r="E174" s="15">
        <f>SUM($B$3:B174)</f>
        <v/>
      </c>
      <c r="F174" s="16">
        <f>(SUM($D$3:D174)+$H$3)</f>
        <v/>
      </c>
    </row>
    <row r="175" ht="15.75" customHeight="1" s="33">
      <c r="A175" s="10" t="n">
        <v>173</v>
      </c>
      <c r="B175" s="10">
        <f>IF(A175&lt;=N_months, I_monthly, 0)</f>
        <v/>
      </c>
      <c r="C175" s="15">
        <f>SV*(1+g)^(A175/12)</f>
        <v/>
      </c>
      <c r="D175" s="16">
        <f>IF(B175=0,0,B175/C175)</f>
        <v/>
      </c>
      <c r="E175" s="15">
        <f>SUM($B$3:B175)</f>
        <v/>
      </c>
      <c r="F175" s="16">
        <f>(SUM($D$3:D175)+$H$3)</f>
        <v/>
      </c>
    </row>
    <row r="176" ht="15.75" customHeight="1" s="33">
      <c r="A176" s="10" t="n">
        <v>174</v>
      </c>
      <c r="B176" s="10">
        <f>IF(A176&lt;=N_months, I_monthly, 0)</f>
        <v/>
      </c>
      <c r="C176" s="15">
        <f>SV*(1+g)^(A176/12)</f>
        <v/>
      </c>
      <c r="D176" s="16">
        <f>IF(B176=0,0,B176/C176)</f>
        <v/>
      </c>
      <c r="E176" s="15">
        <f>SUM($B$3:B176)</f>
        <v/>
      </c>
      <c r="F176" s="16">
        <f>(SUM($D$3:D176)+$H$3)</f>
        <v/>
      </c>
    </row>
    <row r="177" ht="15.75" customHeight="1" s="33">
      <c r="A177" s="10" t="n">
        <v>175</v>
      </c>
      <c r="B177" s="10">
        <f>IF(A177&lt;=N_months, I_monthly, 0)</f>
        <v/>
      </c>
      <c r="C177" s="15">
        <f>SV*(1+g)^(A177/12)</f>
        <v/>
      </c>
      <c r="D177" s="16">
        <f>IF(B177=0,0,B177/C177)</f>
        <v/>
      </c>
      <c r="E177" s="15">
        <f>SUM($B$3:B177)</f>
        <v/>
      </c>
      <c r="F177" s="16">
        <f>(SUM($D$3:D177)+$H$3)</f>
        <v/>
      </c>
    </row>
    <row r="178" ht="15.75" customHeight="1" s="33">
      <c r="A178" s="10" t="n">
        <v>176</v>
      </c>
      <c r="B178" s="10">
        <f>IF(A178&lt;=N_months, I_monthly, 0)</f>
        <v/>
      </c>
      <c r="C178" s="15">
        <f>SV*(1+g)^(A178/12)</f>
        <v/>
      </c>
      <c r="D178" s="16">
        <f>IF(B178=0,0,B178/C178)</f>
        <v/>
      </c>
      <c r="E178" s="15">
        <f>SUM($B$3:B178)</f>
        <v/>
      </c>
      <c r="F178" s="16">
        <f>(SUM($D$3:D178)+$H$3)</f>
        <v/>
      </c>
    </row>
    <row r="179" ht="15.75" customHeight="1" s="33">
      <c r="A179" s="10" t="n">
        <v>177</v>
      </c>
      <c r="B179" s="10">
        <f>IF(A179&lt;=N_months, I_monthly, 0)</f>
        <v/>
      </c>
      <c r="C179" s="15">
        <f>SV*(1+g)^(A179/12)</f>
        <v/>
      </c>
      <c r="D179" s="16">
        <f>IF(B179=0,0,B179/C179)</f>
        <v/>
      </c>
      <c r="E179" s="15">
        <f>SUM($B$3:B179)</f>
        <v/>
      </c>
      <c r="F179" s="16">
        <f>(SUM($D$3:D179)+$H$3)</f>
        <v/>
      </c>
    </row>
    <row r="180" ht="15.75" customHeight="1" s="33">
      <c r="A180" s="10" t="n">
        <v>178</v>
      </c>
      <c r="B180" s="10">
        <f>IF(A180&lt;=N_months, I_monthly, 0)</f>
        <v/>
      </c>
      <c r="C180" s="15">
        <f>SV*(1+g)^(A180/12)</f>
        <v/>
      </c>
      <c r="D180" s="16">
        <f>IF(B180=0,0,B180/C180)</f>
        <v/>
      </c>
      <c r="E180" s="15">
        <f>SUM($B$3:B180)</f>
        <v/>
      </c>
      <c r="F180" s="16">
        <f>(SUM($D$3:D180)+$H$3)</f>
        <v/>
      </c>
    </row>
    <row r="181" ht="15.75" customHeight="1" s="33">
      <c r="A181" s="10" t="n">
        <v>179</v>
      </c>
      <c r="B181" s="10">
        <f>IF(A181&lt;=N_months, I_monthly, 0)</f>
        <v/>
      </c>
      <c r="C181" s="15">
        <f>SV*(1+g)^(A181/12)</f>
        <v/>
      </c>
      <c r="D181" s="16">
        <f>IF(B181=0,0,B181/C181)</f>
        <v/>
      </c>
      <c r="E181" s="15">
        <f>SUM($B$3:B181)</f>
        <v/>
      </c>
      <c r="F181" s="16">
        <f>(SUM($D$3:D181)+$H$3)</f>
        <v/>
      </c>
    </row>
    <row r="182" ht="15.75" customHeight="1" s="33">
      <c r="A182" s="10" t="n">
        <v>180</v>
      </c>
      <c r="B182" s="10">
        <f>IF(A182&lt;=N_months, I_monthly, 0)</f>
        <v/>
      </c>
      <c r="C182" s="15">
        <f>SV*(1+g)^(A182/12)</f>
        <v/>
      </c>
      <c r="D182" s="16">
        <f>IF(B182=0,0,B182/C182)</f>
        <v/>
      </c>
      <c r="E182" s="15">
        <f>SUM($B$3:B182)</f>
        <v/>
      </c>
      <c r="F182" s="16">
        <f>(SUM($D$3:D182)+$H$3)</f>
        <v/>
      </c>
    </row>
    <row r="183" ht="15.75" customHeight="1" s="33">
      <c r="A183" s="10" t="n">
        <v>181</v>
      </c>
      <c r="B183" s="10">
        <f>IF(A183&lt;=N_months, I_monthly, 0)</f>
        <v/>
      </c>
      <c r="C183" s="15">
        <f>SV*(1+g)^(A183/12)</f>
        <v/>
      </c>
      <c r="D183" s="16">
        <f>IF(B183=0,0,B183/C183)</f>
        <v/>
      </c>
      <c r="E183" s="15">
        <f>SUM($B$3:B183)</f>
        <v/>
      </c>
      <c r="F183" s="16">
        <f>(SUM($D$3:D183)+$H$3)</f>
        <v/>
      </c>
    </row>
    <row r="184" ht="15.75" customHeight="1" s="33">
      <c r="A184" s="10" t="n">
        <v>182</v>
      </c>
      <c r="B184" s="10">
        <f>IF(A184&lt;=N_months, I_monthly, 0)</f>
        <v/>
      </c>
      <c r="C184" s="15">
        <f>SV*(1+g)^(A184/12)</f>
        <v/>
      </c>
      <c r="D184" s="16">
        <f>IF(B184=0,0,B184/C184)</f>
        <v/>
      </c>
      <c r="E184" s="15">
        <f>SUM($B$3:B184)</f>
        <v/>
      </c>
      <c r="F184" s="16">
        <f>(SUM($D$3:D184)+$H$3)</f>
        <v/>
      </c>
    </row>
    <row r="185" ht="15.75" customHeight="1" s="33">
      <c r="A185" s="10" t="n">
        <v>183</v>
      </c>
      <c r="B185" s="10">
        <f>IF(A185&lt;=N_months, I_monthly, 0)</f>
        <v/>
      </c>
      <c r="C185" s="15">
        <f>SV*(1+g)^(A185/12)</f>
        <v/>
      </c>
      <c r="D185" s="16">
        <f>IF(B185=0,0,B185/C185)</f>
        <v/>
      </c>
      <c r="E185" s="15">
        <f>SUM($B$3:B185)</f>
        <v/>
      </c>
      <c r="F185" s="16">
        <f>(SUM($D$3:D185)+$H$3)</f>
        <v/>
      </c>
    </row>
    <row r="186" ht="15.75" customHeight="1" s="33">
      <c r="A186" s="10" t="n">
        <v>184</v>
      </c>
      <c r="B186" s="10">
        <f>IF(A186&lt;=N_months, I_monthly, 0)</f>
        <v/>
      </c>
      <c r="C186" s="15">
        <f>SV*(1+g)^(A186/12)</f>
        <v/>
      </c>
      <c r="D186" s="16">
        <f>IF(B186=0,0,B186/C186)</f>
        <v/>
      </c>
      <c r="E186" s="15">
        <f>SUM($B$3:B186)</f>
        <v/>
      </c>
      <c r="F186" s="16">
        <f>(SUM($D$3:D186)+$H$3)</f>
        <v/>
      </c>
    </row>
    <row r="187" ht="15.75" customHeight="1" s="33">
      <c r="A187" s="10" t="n">
        <v>185</v>
      </c>
      <c r="B187" s="10">
        <f>IF(A187&lt;=N_months, I_monthly, 0)</f>
        <v/>
      </c>
      <c r="C187" s="15">
        <f>SV*(1+g)^(A187/12)</f>
        <v/>
      </c>
      <c r="D187" s="16">
        <f>IF(B187=0,0,B187/C187)</f>
        <v/>
      </c>
      <c r="E187" s="15">
        <f>SUM($B$3:B187)</f>
        <v/>
      </c>
      <c r="F187" s="16">
        <f>(SUM($D$3:D187)+$H$3)</f>
        <v/>
      </c>
    </row>
    <row r="188" ht="15.75" customHeight="1" s="33">
      <c r="A188" s="10" t="n">
        <v>186</v>
      </c>
      <c r="B188" s="10">
        <f>IF(A188&lt;=N_months, I_monthly, 0)</f>
        <v/>
      </c>
      <c r="C188" s="15">
        <f>SV*(1+g)^(A188/12)</f>
        <v/>
      </c>
      <c r="D188" s="16">
        <f>IF(B188=0,0,B188/C188)</f>
        <v/>
      </c>
      <c r="E188" s="15">
        <f>SUM($B$3:B188)</f>
        <v/>
      </c>
      <c r="F188" s="16">
        <f>(SUM($D$3:D188)+$H$3)</f>
        <v/>
      </c>
    </row>
    <row r="189" ht="15.75" customHeight="1" s="33">
      <c r="A189" s="10" t="n">
        <v>187</v>
      </c>
      <c r="B189" s="10">
        <f>IF(A189&lt;=N_months, I_monthly, 0)</f>
        <v/>
      </c>
      <c r="C189" s="15">
        <f>SV*(1+g)^(A189/12)</f>
        <v/>
      </c>
      <c r="D189" s="16">
        <f>IF(B189=0,0,B189/C189)</f>
        <v/>
      </c>
      <c r="E189" s="15">
        <f>SUM($B$3:B189)</f>
        <v/>
      </c>
      <c r="F189" s="16">
        <f>(SUM($D$3:D189)+$H$3)</f>
        <v/>
      </c>
    </row>
    <row r="190" ht="15.75" customHeight="1" s="33">
      <c r="A190" s="10" t="n">
        <v>188</v>
      </c>
      <c r="B190" s="10">
        <f>IF(A190&lt;=N_months, I_monthly, 0)</f>
        <v/>
      </c>
      <c r="C190" s="15">
        <f>SV*(1+g)^(A190/12)</f>
        <v/>
      </c>
      <c r="D190" s="16">
        <f>IF(B190=0,0,B190/C190)</f>
        <v/>
      </c>
      <c r="E190" s="15">
        <f>SUM($B$3:B190)</f>
        <v/>
      </c>
      <c r="F190" s="16">
        <f>(SUM($D$3:D190)+$H$3)</f>
        <v/>
      </c>
    </row>
    <row r="191" ht="15.75" customHeight="1" s="33">
      <c r="A191" s="10" t="n">
        <v>189</v>
      </c>
      <c r="B191" s="10">
        <f>IF(A191&lt;=N_months, I_monthly, 0)</f>
        <v/>
      </c>
      <c r="C191" s="15">
        <f>SV*(1+g)^(A191/12)</f>
        <v/>
      </c>
      <c r="D191" s="16">
        <f>IF(B191=0,0,B191/C191)</f>
        <v/>
      </c>
      <c r="E191" s="15">
        <f>SUM($B$3:B191)</f>
        <v/>
      </c>
      <c r="F191" s="16">
        <f>(SUM($D$3:D191)+$H$3)</f>
        <v/>
      </c>
    </row>
    <row r="192" ht="15.75" customHeight="1" s="33">
      <c r="A192" s="10" t="n">
        <v>190</v>
      </c>
      <c r="B192" s="10">
        <f>IF(A192&lt;=N_months, I_monthly, 0)</f>
        <v/>
      </c>
      <c r="C192" s="15">
        <f>SV*(1+g)^(A192/12)</f>
        <v/>
      </c>
      <c r="D192" s="16">
        <f>IF(B192=0,0,B192/C192)</f>
        <v/>
      </c>
      <c r="E192" s="15">
        <f>SUM($B$3:B192)</f>
        <v/>
      </c>
      <c r="F192" s="16">
        <f>(SUM($D$3:D192)+$H$3)</f>
        <v/>
      </c>
    </row>
    <row r="193" ht="15.75" customHeight="1" s="33">
      <c r="A193" s="10" t="n">
        <v>191</v>
      </c>
      <c r="B193" s="10">
        <f>IF(A193&lt;=N_months, I_monthly, 0)</f>
        <v/>
      </c>
      <c r="C193" s="15">
        <f>SV*(1+g)^(A193/12)</f>
        <v/>
      </c>
      <c r="D193" s="16">
        <f>IF(B193=0,0,B193/C193)</f>
        <v/>
      </c>
      <c r="E193" s="15">
        <f>SUM($B$3:B193)</f>
        <v/>
      </c>
      <c r="F193" s="16">
        <f>(SUM($D$3:D193)+$H$3)</f>
        <v/>
      </c>
    </row>
    <row r="194" ht="15.75" customHeight="1" s="33">
      <c r="A194" s="10" t="n">
        <v>192</v>
      </c>
      <c r="B194" s="10">
        <f>IF(A194&lt;=N_months, I_monthly, 0)</f>
        <v/>
      </c>
      <c r="C194" s="15">
        <f>SV*(1+g)^(A194/12)</f>
        <v/>
      </c>
      <c r="D194" s="16">
        <f>IF(B194=0,0,B194/C194)</f>
        <v/>
      </c>
      <c r="E194" s="15">
        <f>SUM($B$3:B194)</f>
        <v/>
      </c>
      <c r="F194" s="16">
        <f>(SUM($D$3:D194)+$H$3)</f>
        <v/>
      </c>
    </row>
    <row r="195" ht="15.75" customHeight="1" s="33">
      <c r="A195" s="10" t="n">
        <v>193</v>
      </c>
      <c r="B195" s="10">
        <f>IF(A195&lt;=N_months, I_monthly, 0)</f>
        <v/>
      </c>
      <c r="C195" s="15">
        <f>SV*(1+g)^(A195/12)</f>
        <v/>
      </c>
      <c r="D195" s="16">
        <f>IF(B195=0,0,B195/C195)</f>
        <v/>
      </c>
      <c r="E195" s="15">
        <f>SUM($B$3:B195)</f>
        <v/>
      </c>
      <c r="F195" s="16">
        <f>(SUM($D$3:D195)+$H$3)</f>
        <v/>
      </c>
    </row>
    <row r="196" ht="15.75" customHeight="1" s="33">
      <c r="A196" s="10" t="n">
        <v>194</v>
      </c>
      <c r="B196" s="10">
        <f>IF(A196&lt;=N_months, I_monthly, 0)</f>
        <v/>
      </c>
      <c r="C196" s="15">
        <f>SV*(1+g)^(A196/12)</f>
        <v/>
      </c>
      <c r="D196" s="16">
        <f>IF(B196=0,0,B196/C196)</f>
        <v/>
      </c>
      <c r="E196" s="15">
        <f>SUM($B$3:B196)</f>
        <v/>
      </c>
      <c r="F196" s="16">
        <f>(SUM($D$3:D196)+$H$3)</f>
        <v/>
      </c>
    </row>
    <row r="197" ht="15.75" customHeight="1" s="33">
      <c r="A197" s="10" t="n">
        <v>195</v>
      </c>
      <c r="B197" s="10">
        <f>IF(A197&lt;=N_months, I_monthly, 0)</f>
        <v/>
      </c>
      <c r="C197" s="15">
        <f>SV*(1+g)^(A197/12)</f>
        <v/>
      </c>
      <c r="D197" s="16">
        <f>IF(B197=0,0,B197/C197)</f>
        <v/>
      </c>
      <c r="E197" s="15">
        <f>SUM($B$3:B197)</f>
        <v/>
      </c>
      <c r="F197" s="16">
        <f>(SUM($D$3:D197)+$H$3)</f>
        <v/>
      </c>
    </row>
    <row r="198" ht="15.75" customHeight="1" s="33">
      <c r="A198" s="10" t="n">
        <v>196</v>
      </c>
      <c r="B198" s="10">
        <f>IF(A198&lt;=N_months, I_monthly, 0)</f>
        <v/>
      </c>
      <c r="C198" s="15">
        <f>SV*(1+g)^(A198/12)</f>
        <v/>
      </c>
      <c r="D198" s="16">
        <f>IF(B198=0,0,B198/C198)</f>
        <v/>
      </c>
      <c r="E198" s="15">
        <f>SUM($B$3:B198)</f>
        <v/>
      </c>
      <c r="F198" s="16">
        <f>(SUM($D$3:D198)+$H$3)</f>
        <v/>
      </c>
    </row>
    <row r="199" ht="15.75" customHeight="1" s="33">
      <c r="A199" s="10" t="n">
        <v>197</v>
      </c>
      <c r="B199" s="10">
        <f>IF(A199&lt;=N_months, I_monthly, 0)</f>
        <v/>
      </c>
      <c r="C199" s="15">
        <f>SV*(1+g)^(A199/12)</f>
        <v/>
      </c>
      <c r="D199" s="16">
        <f>IF(B199=0,0,B199/C199)</f>
        <v/>
      </c>
      <c r="E199" s="15">
        <f>SUM($B$3:B199)</f>
        <v/>
      </c>
      <c r="F199" s="16">
        <f>(SUM($D$3:D199)+$H$3)</f>
        <v/>
      </c>
    </row>
    <row r="200" ht="15.75" customHeight="1" s="33">
      <c r="A200" s="10" t="n">
        <v>198</v>
      </c>
      <c r="B200" s="10">
        <f>IF(A200&lt;=N_months, I_monthly, 0)</f>
        <v/>
      </c>
      <c r="C200" s="15">
        <f>SV*(1+g)^(A200/12)</f>
        <v/>
      </c>
      <c r="D200" s="16">
        <f>IF(B200=0,0,B200/C200)</f>
        <v/>
      </c>
      <c r="E200" s="15">
        <f>SUM($B$3:B200)</f>
        <v/>
      </c>
      <c r="F200" s="16">
        <f>(SUM($D$3:D200)+$H$3)</f>
        <v/>
      </c>
    </row>
    <row r="201" ht="15.75" customHeight="1" s="33">
      <c r="A201" s="10" t="n">
        <v>199</v>
      </c>
      <c r="B201" s="10">
        <f>IF(A201&lt;=N_months, I_monthly, 0)</f>
        <v/>
      </c>
      <c r="C201" s="15">
        <f>SV*(1+g)^(A201/12)</f>
        <v/>
      </c>
      <c r="D201" s="16">
        <f>IF(B201=0,0,B201/C201)</f>
        <v/>
      </c>
      <c r="E201" s="15">
        <f>SUM($B$3:B201)</f>
        <v/>
      </c>
      <c r="F201" s="16">
        <f>(SUM($D$3:D201)+$H$3)</f>
        <v/>
      </c>
    </row>
    <row r="202" ht="15.75" customHeight="1" s="33">
      <c r="A202" s="10" t="n">
        <v>200</v>
      </c>
      <c r="B202" s="10">
        <f>IF(A202&lt;=N_months, I_monthly, 0)</f>
        <v/>
      </c>
      <c r="C202" s="15">
        <f>SV*(1+g)^(A202/12)</f>
        <v/>
      </c>
      <c r="D202" s="16">
        <f>IF(B202=0,0,B202/C202)</f>
        <v/>
      </c>
      <c r="E202" s="15">
        <f>SUM($B$3:B202)</f>
        <v/>
      </c>
      <c r="F202" s="16">
        <f>(SUM($D$3:D202)+$H$3)</f>
        <v/>
      </c>
    </row>
    <row r="203" ht="15.75" customHeight="1" s="33">
      <c r="A203" s="10" t="n">
        <v>201</v>
      </c>
      <c r="B203" s="10">
        <f>IF(A203&lt;=N_months, I_monthly, 0)</f>
        <v/>
      </c>
      <c r="C203" s="15">
        <f>SV*(1+g)^(A203/12)</f>
        <v/>
      </c>
      <c r="D203" s="16">
        <f>IF(B203=0,0,B203/C203)</f>
        <v/>
      </c>
      <c r="E203" s="15">
        <f>SUM($B$3:B203)</f>
        <v/>
      </c>
      <c r="F203" s="16">
        <f>(SUM($D$3:D203)+$H$3)</f>
        <v/>
      </c>
    </row>
    <row r="204" ht="15.75" customHeight="1" s="33">
      <c r="A204" s="10" t="n">
        <v>202</v>
      </c>
      <c r="B204" s="10">
        <f>IF(A204&lt;=N_months, I_monthly, 0)</f>
        <v/>
      </c>
      <c r="C204" s="15">
        <f>SV*(1+g)^(A204/12)</f>
        <v/>
      </c>
      <c r="D204" s="16">
        <f>IF(B204=0,0,B204/C204)</f>
        <v/>
      </c>
      <c r="E204" s="15">
        <f>SUM($B$3:B204)</f>
        <v/>
      </c>
      <c r="F204" s="16">
        <f>(SUM($D$3:D204)+$H$3)</f>
        <v/>
      </c>
    </row>
    <row r="205" ht="15.75" customHeight="1" s="33">
      <c r="A205" s="10" t="n">
        <v>203</v>
      </c>
      <c r="B205" s="10">
        <f>IF(A205&lt;=N_months, I_monthly, 0)</f>
        <v/>
      </c>
      <c r="C205" s="15">
        <f>SV*(1+g)^(A205/12)</f>
        <v/>
      </c>
      <c r="D205" s="16">
        <f>IF(B205=0,0,B205/C205)</f>
        <v/>
      </c>
      <c r="E205" s="15">
        <f>SUM($B$3:B205)</f>
        <v/>
      </c>
      <c r="F205" s="16">
        <f>(SUM($D$3:D205)+$H$3)</f>
        <v/>
      </c>
    </row>
    <row r="206" ht="15.75" customHeight="1" s="33">
      <c r="A206" s="10" t="n">
        <v>204</v>
      </c>
      <c r="B206" s="10">
        <f>IF(A206&lt;=N_months, I_monthly, 0)</f>
        <v/>
      </c>
      <c r="C206" s="15">
        <f>SV*(1+g)^(A206/12)</f>
        <v/>
      </c>
      <c r="D206" s="16">
        <f>IF(B206=0,0,B206/C206)</f>
        <v/>
      </c>
      <c r="E206" s="15">
        <f>SUM($B$3:B206)</f>
        <v/>
      </c>
      <c r="F206" s="16">
        <f>(SUM($D$3:D206)+$H$3)</f>
        <v/>
      </c>
    </row>
    <row r="207" ht="15.75" customHeight="1" s="33">
      <c r="A207" s="10" t="n">
        <v>205</v>
      </c>
      <c r="B207" s="10">
        <f>IF(A207&lt;=N_months, I_monthly, 0)</f>
        <v/>
      </c>
      <c r="C207" s="15">
        <f>SV*(1+g)^(A207/12)</f>
        <v/>
      </c>
      <c r="D207" s="16">
        <f>IF(B207=0,0,B207/C207)</f>
        <v/>
      </c>
      <c r="E207" s="15">
        <f>SUM($B$3:B207)</f>
        <v/>
      </c>
      <c r="F207" s="16">
        <f>(SUM($D$3:D207)+$H$3)</f>
        <v/>
      </c>
    </row>
    <row r="208" ht="15.75" customHeight="1" s="33">
      <c r="A208" s="10" t="n">
        <v>206</v>
      </c>
      <c r="B208" s="10">
        <f>IF(A208&lt;=N_months, I_monthly, 0)</f>
        <v/>
      </c>
      <c r="C208" s="15">
        <f>SV*(1+g)^(A208/12)</f>
        <v/>
      </c>
      <c r="D208" s="16">
        <f>IF(B208=0,0,B208/C208)</f>
        <v/>
      </c>
      <c r="E208" s="15">
        <f>SUM($B$3:B208)</f>
        <v/>
      </c>
      <c r="F208" s="16">
        <f>(SUM($D$3:D208)+$H$3)</f>
        <v/>
      </c>
    </row>
    <row r="209" ht="15.75" customHeight="1" s="33">
      <c r="A209" s="10" t="n">
        <v>207</v>
      </c>
      <c r="B209" s="10">
        <f>IF(A209&lt;=N_months, I_monthly, 0)</f>
        <v/>
      </c>
      <c r="C209" s="15">
        <f>SV*(1+g)^(A209/12)</f>
        <v/>
      </c>
      <c r="D209" s="16">
        <f>IF(B209=0,0,B209/C209)</f>
        <v/>
      </c>
      <c r="E209" s="15">
        <f>SUM($B$3:B209)</f>
        <v/>
      </c>
      <c r="F209" s="16">
        <f>(SUM($D$3:D209)+$H$3)</f>
        <v/>
      </c>
    </row>
    <row r="210" ht="15.75" customHeight="1" s="33">
      <c r="A210" s="10" t="n">
        <v>208</v>
      </c>
      <c r="B210" s="10">
        <f>IF(A210&lt;=N_months, I_monthly, 0)</f>
        <v/>
      </c>
      <c r="C210" s="15">
        <f>SV*(1+g)^(A210/12)</f>
        <v/>
      </c>
      <c r="D210" s="16">
        <f>IF(B210=0,0,B210/C210)</f>
        <v/>
      </c>
      <c r="E210" s="15">
        <f>SUM($B$3:B210)</f>
        <v/>
      </c>
      <c r="F210" s="16">
        <f>(SUM($D$3:D210)+$H$3)</f>
        <v/>
      </c>
    </row>
    <row r="211" ht="15.75" customHeight="1" s="33">
      <c r="A211" s="10" t="n">
        <v>209</v>
      </c>
      <c r="B211" s="10">
        <f>IF(A211&lt;=N_months, I_monthly, 0)</f>
        <v/>
      </c>
      <c r="C211" s="15">
        <f>SV*(1+g)^(A211/12)</f>
        <v/>
      </c>
      <c r="D211" s="16">
        <f>IF(B211=0,0,B211/C211)</f>
        <v/>
      </c>
      <c r="E211" s="15">
        <f>SUM($B$3:B211)</f>
        <v/>
      </c>
      <c r="F211" s="16">
        <f>(SUM($D$3:D211)+$H$3)</f>
        <v/>
      </c>
    </row>
    <row r="212" ht="15.75" customHeight="1" s="33">
      <c r="A212" s="10" t="n">
        <v>210</v>
      </c>
      <c r="B212" s="10">
        <f>IF(A212&lt;=N_months, I_monthly, 0)</f>
        <v/>
      </c>
      <c r="C212" s="15">
        <f>SV*(1+g)^(A212/12)</f>
        <v/>
      </c>
      <c r="D212" s="16">
        <f>IF(B212=0,0,B212/C212)</f>
        <v/>
      </c>
      <c r="E212" s="15">
        <f>SUM($B$3:B212)</f>
        <v/>
      </c>
      <c r="F212" s="16">
        <f>(SUM($D$3:D212)+$H$3)</f>
        <v/>
      </c>
    </row>
    <row r="213" ht="15.75" customHeight="1" s="33">
      <c r="A213" s="10" t="n">
        <v>211</v>
      </c>
      <c r="B213" s="10">
        <f>IF(A213&lt;=N_months, I_monthly, 0)</f>
        <v/>
      </c>
      <c r="C213" s="15">
        <f>SV*(1+g)^(A213/12)</f>
        <v/>
      </c>
      <c r="D213" s="16">
        <f>IF(B213=0,0,B213/C213)</f>
        <v/>
      </c>
      <c r="E213" s="15">
        <f>SUM($B$3:B213)</f>
        <v/>
      </c>
      <c r="F213" s="16">
        <f>(SUM($D$3:D213)+$H$3)</f>
        <v/>
      </c>
    </row>
    <row r="214" ht="15.75" customHeight="1" s="33">
      <c r="A214" s="10" t="n">
        <v>212</v>
      </c>
      <c r="B214" s="10">
        <f>IF(A214&lt;=N_months, I_monthly, 0)</f>
        <v/>
      </c>
      <c r="C214" s="15">
        <f>SV*(1+g)^(A214/12)</f>
        <v/>
      </c>
      <c r="D214" s="16">
        <f>IF(B214=0,0,B214/C214)</f>
        <v/>
      </c>
      <c r="E214" s="15">
        <f>SUM($B$3:B214)</f>
        <v/>
      </c>
      <c r="F214" s="16">
        <f>(SUM($D$3:D214)+$H$3)</f>
        <v/>
      </c>
    </row>
    <row r="215" ht="15.75" customHeight="1" s="33">
      <c r="A215" s="10" t="n">
        <v>213</v>
      </c>
      <c r="B215" s="10">
        <f>IF(A215&lt;=N_months, I_monthly, 0)</f>
        <v/>
      </c>
      <c r="C215" s="15">
        <f>SV*(1+g)^(A215/12)</f>
        <v/>
      </c>
      <c r="D215" s="16">
        <f>IF(B215=0,0,B215/C215)</f>
        <v/>
      </c>
      <c r="E215" s="15">
        <f>SUM($B$3:B215)</f>
        <v/>
      </c>
      <c r="F215" s="16">
        <f>(SUM($D$3:D215)+$H$3)</f>
        <v/>
      </c>
    </row>
    <row r="216" ht="15.75" customHeight="1" s="33">
      <c r="A216" s="10" t="n">
        <v>214</v>
      </c>
      <c r="B216" s="10">
        <f>IF(A216&lt;=N_months, I_monthly, 0)</f>
        <v/>
      </c>
      <c r="C216" s="15">
        <f>SV*(1+g)^(A216/12)</f>
        <v/>
      </c>
      <c r="D216" s="16">
        <f>IF(B216=0,0,B216/C216)</f>
        <v/>
      </c>
      <c r="E216" s="15">
        <f>SUM($B$3:B216)</f>
        <v/>
      </c>
      <c r="F216" s="16">
        <f>(SUM($D$3:D216)+$H$3)</f>
        <v/>
      </c>
    </row>
    <row r="217" ht="15.75" customHeight="1" s="33">
      <c r="A217" s="10" t="n">
        <v>215</v>
      </c>
      <c r="B217" s="10">
        <f>IF(A217&lt;=N_months, I_monthly, 0)</f>
        <v/>
      </c>
      <c r="C217" s="15">
        <f>SV*(1+g)^(A217/12)</f>
        <v/>
      </c>
      <c r="D217" s="16">
        <f>IF(B217=0,0,B217/C217)</f>
        <v/>
      </c>
      <c r="E217" s="15">
        <f>SUM($B$3:B217)</f>
        <v/>
      </c>
      <c r="F217" s="16">
        <f>(SUM($D$3:D217)+$H$3)</f>
        <v/>
      </c>
    </row>
    <row r="218" ht="15.75" customHeight="1" s="33">
      <c r="A218" s="10" t="n">
        <v>216</v>
      </c>
      <c r="B218" s="10">
        <f>IF(A218&lt;=N_months, I_monthly, 0)</f>
        <v/>
      </c>
      <c r="C218" s="15">
        <f>SV*(1+g)^(A218/12)</f>
        <v/>
      </c>
      <c r="D218" s="16">
        <f>IF(B218=0,0,B218/C218)</f>
        <v/>
      </c>
      <c r="E218" s="15">
        <f>SUM($B$3:B218)</f>
        <v/>
      </c>
      <c r="F218" s="16">
        <f>(SUM($D$3:D218)+$H$3)</f>
        <v/>
      </c>
    </row>
    <row r="219" ht="15.75" customHeight="1" s="33">
      <c r="A219" s="10" t="n">
        <v>217</v>
      </c>
      <c r="B219" s="10">
        <f>IF(A219&lt;=N_months, I_monthly, 0)</f>
        <v/>
      </c>
      <c r="C219" s="15">
        <f>SV*(1+g)^(A219/12)</f>
        <v/>
      </c>
      <c r="D219" s="16">
        <f>IF(B219=0,0,B219/C219)</f>
        <v/>
      </c>
      <c r="E219" s="15">
        <f>SUM($B$3:B219)</f>
        <v/>
      </c>
      <c r="F219" s="16">
        <f>(SUM($D$3:D219)+$H$3)</f>
        <v/>
      </c>
    </row>
    <row r="220" ht="15.75" customHeight="1" s="33">
      <c r="A220" s="10" t="n">
        <v>218</v>
      </c>
      <c r="B220" s="10">
        <f>IF(A220&lt;=N_months, I_monthly, 0)</f>
        <v/>
      </c>
      <c r="C220" s="15">
        <f>SV*(1+g)^(A220/12)</f>
        <v/>
      </c>
      <c r="D220" s="16">
        <f>IF(B220=0,0,B220/C220)</f>
        <v/>
      </c>
      <c r="E220" s="15">
        <f>SUM($B$3:B220)</f>
        <v/>
      </c>
      <c r="F220" s="16">
        <f>(SUM($D$3:D220)+$H$3)</f>
        <v/>
      </c>
    </row>
    <row r="221" ht="15.75" customHeight="1" s="33">
      <c r="A221" s="10" t="n">
        <v>219</v>
      </c>
      <c r="B221" s="10">
        <f>IF(A221&lt;=N_months, I_monthly, 0)</f>
        <v/>
      </c>
      <c r="C221" s="15">
        <f>SV*(1+g)^(A221/12)</f>
        <v/>
      </c>
      <c r="D221" s="16">
        <f>IF(B221=0,0,B221/C221)</f>
        <v/>
      </c>
      <c r="E221" s="15">
        <f>SUM($B$3:B221)</f>
        <v/>
      </c>
      <c r="F221" s="16">
        <f>(SUM($D$3:D221)+$H$3)</f>
        <v/>
      </c>
    </row>
    <row r="222" ht="15.75" customHeight="1" s="33">
      <c r="A222" s="10" t="n">
        <v>220</v>
      </c>
      <c r="B222" s="10">
        <f>IF(A222&lt;=N_months, I_monthly, 0)</f>
        <v/>
      </c>
      <c r="C222" s="15">
        <f>SV*(1+g)^(A222/12)</f>
        <v/>
      </c>
      <c r="D222" s="16">
        <f>IF(B222=0,0,B222/C222)</f>
        <v/>
      </c>
      <c r="E222" s="15">
        <f>SUM($B$3:B222)</f>
        <v/>
      </c>
      <c r="F222" s="16">
        <f>(SUM($D$3:D222)+$H$3)</f>
        <v/>
      </c>
    </row>
    <row r="223" ht="15.75" customHeight="1" s="33">
      <c r="A223" s="10" t="n">
        <v>221</v>
      </c>
      <c r="B223" s="10">
        <f>IF(A223&lt;=N_months, I_monthly, 0)</f>
        <v/>
      </c>
      <c r="C223" s="15">
        <f>SV*(1+g)^(A223/12)</f>
        <v/>
      </c>
      <c r="D223" s="16">
        <f>IF(B223=0,0,B223/C223)</f>
        <v/>
      </c>
      <c r="E223" s="15">
        <f>SUM($B$3:B223)</f>
        <v/>
      </c>
      <c r="F223" s="16">
        <f>(SUM($D$3:D223)+$H$3)</f>
        <v/>
      </c>
    </row>
    <row r="224" ht="15.75" customHeight="1" s="33">
      <c r="A224" s="10" t="n">
        <v>222</v>
      </c>
      <c r="B224" s="10">
        <f>IF(A224&lt;=N_months, I_monthly, 0)</f>
        <v/>
      </c>
      <c r="C224" s="15">
        <f>SV*(1+g)^(A224/12)</f>
        <v/>
      </c>
      <c r="D224" s="16">
        <f>IF(B224=0,0,B224/C224)</f>
        <v/>
      </c>
      <c r="E224" s="15">
        <f>SUM($B$3:B224)</f>
        <v/>
      </c>
      <c r="F224" s="16">
        <f>(SUM($D$3:D224)+$H$3)</f>
        <v/>
      </c>
    </row>
    <row r="225" ht="15.75" customHeight="1" s="33">
      <c r="A225" s="10" t="n">
        <v>223</v>
      </c>
      <c r="B225" s="10">
        <f>IF(A225&lt;=N_months, I_monthly, 0)</f>
        <v/>
      </c>
      <c r="C225" s="15">
        <f>SV*(1+g)^(A225/12)</f>
        <v/>
      </c>
      <c r="D225" s="16">
        <f>IF(B225=0,0,B225/C225)</f>
        <v/>
      </c>
      <c r="E225" s="15">
        <f>SUM($B$3:B225)</f>
        <v/>
      </c>
      <c r="F225" s="16">
        <f>(SUM($D$3:D225)+$H$3)</f>
        <v/>
      </c>
    </row>
    <row r="226" ht="15.75" customHeight="1" s="33">
      <c r="A226" s="10" t="n">
        <v>224</v>
      </c>
      <c r="B226" s="10">
        <f>IF(A226&lt;=N_months, I_monthly, 0)</f>
        <v/>
      </c>
      <c r="C226" s="15">
        <f>SV*(1+g)^(A226/12)</f>
        <v/>
      </c>
      <c r="D226" s="16">
        <f>IF(B226=0,0,B226/C226)</f>
        <v/>
      </c>
      <c r="E226" s="15">
        <f>SUM($B$3:B226)</f>
        <v/>
      </c>
      <c r="F226" s="16">
        <f>(SUM($D$3:D226)+$H$3)</f>
        <v/>
      </c>
    </row>
    <row r="227" ht="15.75" customHeight="1" s="33">
      <c r="A227" s="10" t="n">
        <v>225</v>
      </c>
      <c r="B227" s="10">
        <f>IF(A227&lt;=N_months, I_monthly, 0)</f>
        <v/>
      </c>
      <c r="C227" s="15">
        <f>SV*(1+g)^(A227/12)</f>
        <v/>
      </c>
      <c r="D227" s="16">
        <f>IF(B227=0,0,B227/C227)</f>
        <v/>
      </c>
      <c r="E227" s="15">
        <f>SUM($B$3:B227)</f>
        <v/>
      </c>
      <c r="F227" s="16">
        <f>(SUM($D$3:D227)+$H$3)</f>
        <v/>
      </c>
    </row>
    <row r="228" ht="15.75" customHeight="1" s="33">
      <c r="A228" s="10" t="n">
        <v>226</v>
      </c>
      <c r="B228" s="10">
        <f>IF(A228&lt;=N_months, I_monthly, 0)</f>
        <v/>
      </c>
      <c r="C228" s="15">
        <f>SV*(1+g)^(A228/12)</f>
        <v/>
      </c>
      <c r="D228" s="16">
        <f>IF(B228=0,0,B228/C228)</f>
        <v/>
      </c>
      <c r="E228" s="15">
        <f>SUM($B$3:B228)</f>
        <v/>
      </c>
      <c r="F228" s="16">
        <f>(SUM($D$3:D228)+$H$3)</f>
        <v/>
      </c>
    </row>
    <row r="229" ht="15.75" customHeight="1" s="33">
      <c r="A229" s="10" t="n">
        <v>227</v>
      </c>
      <c r="B229" s="10">
        <f>IF(A229&lt;=N_months, I_monthly, 0)</f>
        <v/>
      </c>
      <c r="C229" s="15">
        <f>SV*(1+g)^(A229/12)</f>
        <v/>
      </c>
      <c r="D229" s="16">
        <f>IF(B229=0,0,B229/C229)</f>
        <v/>
      </c>
      <c r="E229" s="15">
        <f>SUM($B$3:B229)</f>
        <v/>
      </c>
      <c r="F229" s="16">
        <f>(SUM($D$3:D229)+$H$3)</f>
        <v/>
      </c>
    </row>
    <row r="230" ht="15.75" customHeight="1" s="33">
      <c r="A230" s="10" t="n">
        <v>228</v>
      </c>
      <c r="B230" s="10">
        <f>IF(A230&lt;=N_months, I_monthly, 0)</f>
        <v/>
      </c>
      <c r="C230" s="15">
        <f>SV*(1+g)^(A230/12)</f>
        <v/>
      </c>
      <c r="D230" s="16">
        <f>IF(B230=0,0,B230/C230)</f>
        <v/>
      </c>
      <c r="E230" s="15">
        <f>SUM($B$3:B230)</f>
        <v/>
      </c>
      <c r="F230" s="16">
        <f>(SUM($D$3:D230)+$H$3)</f>
        <v/>
      </c>
    </row>
    <row r="231" ht="15.75" customHeight="1" s="33">
      <c r="A231" s="10" t="n">
        <v>229</v>
      </c>
      <c r="B231" s="10">
        <f>IF(A231&lt;=N_months, I_monthly, 0)</f>
        <v/>
      </c>
      <c r="C231" s="15">
        <f>SV*(1+g)^(A231/12)</f>
        <v/>
      </c>
      <c r="D231" s="16">
        <f>IF(B231=0,0,B231/C231)</f>
        <v/>
      </c>
      <c r="E231" s="15">
        <f>SUM($B$3:B231)</f>
        <v/>
      </c>
      <c r="F231" s="16">
        <f>(SUM($D$3:D231)+$H$3)</f>
        <v/>
      </c>
    </row>
    <row r="232" ht="15.75" customHeight="1" s="33">
      <c r="A232" s="10" t="n">
        <v>230</v>
      </c>
      <c r="B232" s="10">
        <f>IF(A232&lt;=N_months, I_monthly, 0)</f>
        <v/>
      </c>
      <c r="C232" s="15">
        <f>SV*(1+g)^(A232/12)</f>
        <v/>
      </c>
      <c r="D232" s="16">
        <f>IF(B232=0,0,B232/C232)</f>
        <v/>
      </c>
      <c r="E232" s="15">
        <f>SUM($B$3:B232)</f>
        <v/>
      </c>
      <c r="F232" s="16">
        <f>(SUM($D$3:D232)+$H$3)</f>
        <v/>
      </c>
    </row>
    <row r="233" ht="15.75" customHeight="1" s="33">
      <c r="A233" s="10" t="n">
        <v>231</v>
      </c>
      <c r="B233" s="10">
        <f>IF(A233&lt;=N_months, I_monthly, 0)</f>
        <v/>
      </c>
      <c r="C233" s="15">
        <f>SV*(1+g)^(A233/12)</f>
        <v/>
      </c>
      <c r="D233" s="16">
        <f>IF(B233=0,0,B233/C233)</f>
        <v/>
      </c>
      <c r="E233" s="15">
        <f>SUM($B$3:B233)</f>
        <v/>
      </c>
      <c r="F233" s="16">
        <f>(SUM($D$3:D233)+$H$3)</f>
        <v/>
      </c>
    </row>
    <row r="234" ht="15.75" customHeight="1" s="33">
      <c r="A234" s="10" t="n">
        <v>232</v>
      </c>
      <c r="B234" s="10">
        <f>IF(A234&lt;=N_months, I_monthly, 0)</f>
        <v/>
      </c>
      <c r="C234" s="15">
        <f>SV*(1+g)^(A234/12)</f>
        <v/>
      </c>
      <c r="D234" s="16">
        <f>IF(B234=0,0,B234/C234)</f>
        <v/>
      </c>
      <c r="E234" s="15">
        <f>SUM($B$3:B234)</f>
        <v/>
      </c>
      <c r="F234" s="16">
        <f>(SUM($D$3:D234)+$H$3)</f>
        <v/>
      </c>
    </row>
    <row r="235" ht="15.75" customHeight="1" s="33">
      <c r="A235" s="10" t="n">
        <v>233</v>
      </c>
      <c r="B235" s="10">
        <f>IF(A235&lt;=N_months, I_monthly, 0)</f>
        <v/>
      </c>
      <c r="C235" s="15">
        <f>SV*(1+g)^(A235/12)</f>
        <v/>
      </c>
      <c r="D235" s="16">
        <f>IF(B235=0,0,B235/C235)</f>
        <v/>
      </c>
      <c r="E235" s="15">
        <f>SUM($B$3:B235)</f>
        <v/>
      </c>
      <c r="F235" s="16">
        <f>(SUM($D$3:D235)+$H$3)</f>
        <v/>
      </c>
    </row>
    <row r="236" ht="15.75" customHeight="1" s="33">
      <c r="A236" s="10" t="n">
        <v>234</v>
      </c>
      <c r="B236" s="10">
        <f>IF(A236&lt;=N_months, I_monthly, 0)</f>
        <v/>
      </c>
      <c r="C236" s="15">
        <f>SV*(1+g)^(A236/12)</f>
        <v/>
      </c>
      <c r="D236" s="16">
        <f>IF(B236=0,0,B236/C236)</f>
        <v/>
      </c>
      <c r="E236" s="15">
        <f>SUM($B$3:B236)</f>
        <v/>
      </c>
      <c r="F236" s="16">
        <f>(SUM($D$3:D236)+$H$3)</f>
        <v/>
      </c>
    </row>
    <row r="237" ht="15.75" customHeight="1" s="33">
      <c r="A237" s="10" t="n">
        <v>235</v>
      </c>
      <c r="B237" s="10">
        <f>IF(A237&lt;=N_months, I_monthly, 0)</f>
        <v/>
      </c>
      <c r="C237" s="15">
        <f>SV*(1+g)^(A237/12)</f>
        <v/>
      </c>
      <c r="D237" s="16">
        <f>IF(B237=0,0,B237/C237)</f>
        <v/>
      </c>
      <c r="E237" s="15">
        <f>SUM($B$3:B237)</f>
        <v/>
      </c>
      <c r="F237" s="16">
        <f>(SUM($D$3:D237)+$H$3)</f>
        <v/>
      </c>
    </row>
    <row r="238" ht="15.75" customHeight="1" s="33">
      <c r="A238" s="10" t="n">
        <v>236</v>
      </c>
      <c r="B238" s="10">
        <f>IF(A238&lt;=N_months, I_monthly, 0)</f>
        <v/>
      </c>
      <c r="C238" s="15">
        <f>SV*(1+g)^(A238/12)</f>
        <v/>
      </c>
      <c r="D238" s="16">
        <f>IF(B238=0,0,B238/C238)</f>
        <v/>
      </c>
      <c r="E238" s="15">
        <f>SUM($B$3:B238)</f>
        <v/>
      </c>
      <c r="F238" s="16">
        <f>(SUM($D$3:D238)+$H$3)</f>
        <v/>
      </c>
    </row>
    <row r="239" ht="15.75" customHeight="1" s="33">
      <c r="A239" s="10" t="n">
        <v>237</v>
      </c>
      <c r="B239" s="10">
        <f>IF(A239&lt;=N_months, I_monthly, 0)</f>
        <v/>
      </c>
      <c r="C239" s="15">
        <f>SV*(1+g)^(A239/12)</f>
        <v/>
      </c>
      <c r="D239" s="16">
        <f>IF(B239=0,0,B239/C239)</f>
        <v/>
      </c>
      <c r="E239" s="15">
        <f>SUM($B$3:B239)</f>
        <v/>
      </c>
      <c r="F239" s="16">
        <f>(SUM($D$3:D239)+$H$3)</f>
        <v/>
      </c>
    </row>
    <row r="240" ht="15.75" customHeight="1" s="33">
      <c r="A240" s="10" t="n">
        <v>238</v>
      </c>
      <c r="B240" s="10">
        <f>IF(A240&lt;=N_months, I_monthly, 0)</f>
        <v/>
      </c>
      <c r="C240" s="15">
        <f>SV*(1+g)^(A240/12)</f>
        <v/>
      </c>
      <c r="D240" s="16">
        <f>IF(B240=0,0,B240/C240)</f>
        <v/>
      </c>
      <c r="E240" s="15">
        <f>SUM($B$3:B240)</f>
        <v/>
      </c>
      <c r="F240" s="16">
        <f>(SUM($D$3:D240)+$H$3)</f>
        <v/>
      </c>
    </row>
    <row r="241" ht="15.75" customHeight="1" s="33">
      <c r="A241" s="10" t="n">
        <v>239</v>
      </c>
      <c r="B241" s="10">
        <f>IF(A241&lt;=N_months, I_monthly, 0)</f>
        <v/>
      </c>
      <c r="C241" s="15">
        <f>SV*(1+g)^(A241/12)</f>
        <v/>
      </c>
      <c r="D241" s="16">
        <f>IF(B241=0,0,B241/C241)</f>
        <v/>
      </c>
      <c r="E241" s="15">
        <f>SUM($B$3:B241)</f>
        <v/>
      </c>
      <c r="F241" s="16">
        <f>(SUM($D$3:D241)+$H$3)</f>
        <v/>
      </c>
    </row>
    <row r="242" ht="15.75" customHeight="1" s="33">
      <c r="A242" s="10" t="n">
        <v>240</v>
      </c>
      <c r="B242" s="10">
        <f>IF(A242&lt;=N_months, I_monthly, 0)</f>
        <v/>
      </c>
      <c r="C242" s="15">
        <f>SV*(1+g)^(A242/12)</f>
        <v/>
      </c>
      <c r="D242" s="16">
        <f>IF(B242=0,0,B242/C242)</f>
        <v/>
      </c>
      <c r="E242" s="15">
        <f>SUM($B$3:B242)</f>
        <v/>
      </c>
      <c r="F242" s="16">
        <f>(SUM($D$3:D242)+$H$3)</f>
        <v/>
      </c>
    </row>
    <row r="243" ht="15.75" customHeight="1" s="33">
      <c r="C243" s="18" t="n"/>
      <c r="D243" s="12" t="n"/>
      <c r="F243" s="12" t="n"/>
    </row>
    <row r="244" ht="15.75" customHeight="1" s="33">
      <c r="C244" s="18" t="n"/>
      <c r="D244" s="12" t="n"/>
      <c r="F244" s="12" t="n"/>
    </row>
    <row r="245" ht="15.75" customHeight="1" s="33">
      <c r="C245" s="18" t="n"/>
      <c r="D245" s="12" t="n"/>
      <c r="F245" s="12" t="n"/>
    </row>
    <row r="246" ht="15.75" customHeight="1" s="33">
      <c r="C246" s="18" t="n"/>
      <c r="D246" s="12" t="n"/>
      <c r="F246" s="12" t="n"/>
    </row>
    <row r="247" ht="15.75" customHeight="1" s="33">
      <c r="C247" s="18" t="n"/>
      <c r="D247" s="12" t="n"/>
      <c r="F247" s="12" t="n"/>
    </row>
    <row r="248" ht="15.75" customHeight="1" s="33">
      <c r="C248" s="18" t="n"/>
      <c r="D248" s="12" t="n"/>
      <c r="F248" s="12" t="n"/>
    </row>
    <row r="249" ht="15.75" customHeight="1" s="33">
      <c r="C249" s="18" t="n"/>
      <c r="D249" s="12" t="n"/>
      <c r="F249" s="12" t="n"/>
    </row>
    <row r="250" ht="15.75" customHeight="1" s="33">
      <c r="C250" s="18" t="n"/>
      <c r="D250" s="12" t="n"/>
      <c r="F250" s="12" t="n"/>
    </row>
    <row r="251" ht="15.75" customHeight="1" s="33">
      <c r="C251" s="18" t="n"/>
      <c r="D251" s="12" t="n"/>
      <c r="F251" s="12" t="n"/>
    </row>
    <row r="252" ht="15.75" customHeight="1" s="33">
      <c r="C252" s="18" t="n"/>
      <c r="D252" s="12" t="n"/>
      <c r="F252" s="12" t="n"/>
    </row>
    <row r="253" ht="15.75" customHeight="1" s="33">
      <c r="C253" s="18" t="n"/>
      <c r="D253" s="12" t="n"/>
      <c r="F253" s="12" t="n"/>
    </row>
    <row r="254" ht="15.75" customHeight="1" s="33">
      <c r="D254" s="12" t="n"/>
      <c r="F254" s="12" t="n"/>
    </row>
    <row r="255" ht="15.75" customHeight="1" s="33">
      <c r="D255" s="12" t="n"/>
      <c r="F255" s="12" t="n"/>
    </row>
    <row r="256" ht="15.75" customHeight="1" s="33">
      <c r="D256" s="12" t="n"/>
      <c r="F256" s="12" t="n"/>
    </row>
    <row r="257" ht="15.75" customHeight="1" s="33">
      <c r="D257" s="12" t="n"/>
      <c r="F257" s="12" t="n"/>
    </row>
    <row r="258" ht="15.75" customHeight="1" s="33">
      <c r="D258" s="12" t="n"/>
      <c r="F258" s="12" t="n"/>
    </row>
    <row r="259" ht="15.75" customHeight="1" s="33">
      <c r="D259" s="12" t="n"/>
      <c r="F259" s="12" t="n"/>
    </row>
    <row r="260" ht="15.75" customHeight="1" s="33">
      <c r="D260" s="12" t="n"/>
      <c r="F260" s="12" t="n"/>
    </row>
    <row r="261" ht="15.75" customHeight="1" s="33">
      <c r="D261" s="12" t="n"/>
      <c r="F261" s="12" t="n"/>
    </row>
    <row r="262" ht="15.75" customHeight="1" s="33">
      <c r="D262" s="12" t="n"/>
      <c r="F262" s="12" t="n"/>
    </row>
    <row r="263" ht="15.75" customHeight="1" s="33">
      <c r="D263" s="12" t="n"/>
      <c r="F263" s="12" t="n"/>
    </row>
    <row r="264" ht="15.75" customHeight="1" s="33">
      <c r="D264" s="12" t="n"/>
      <c r="F264" s="12" t="n"/>
    </row>
    <row r="265" ht="15.75" customHeight="1" s="33">
      <c r="D265" s="12" t="n"/>
      <c r="F265" s="12" t="n"/>
    </row>
    <row r="266" ht="15.75" customHeight="1" s="33">
      <c r="D266" s="12" t="n"/>
      <c r="F266" s="12" t="n"/>
    </row>
    <row r="267" ht="15.75" customHeight="1" s="33">
      <c r="D267" s="12" t="n"/>
      <c r="F267" s="12" t="n"/>
    </row>
    <row r="268" ht="15.75" customHeight="1" s="33">
      <c r="D268" s="12" t="n"/>
      <c r="F268" s="12" t="n"/>
    </row>
    <row r="269" ht="15.75" customHeight="1" s="33">
      <c r="D269" s="12" t="n"/>
      <c r="F269" s="12" t="n"/>
    </row>
    <row r="270" ht="15.75" customHeight="1" s="33">
      <c r="D270" s="12" t="n"/>
      <c r="F270" s="12" t="n"/>
    </row>
    <row r="271" ht="15.75" customHeight="1" s="33">
      <c r="D271" s="12" t="n"/>
      <c r="F271" s="12" t="n"/>
    </row>
    <row r="272" ht="15.75" customHeight="1" s="33">
      <c r="D272" s="12" t="n"/>
      <c r="F272" s="12" t="n"/>
    </row>
    <row r="273" ht="15.75" customHeight="1" s="33">
      <c r="D273" s="12" t="n"/>
      <c r="F273" s="12" t="n"/>
    </row>
    <row r="274" ht="15.75" customHeight="1" s="33">
      <c r="D274" s="12" t="n"/>
      <c r="F274" s="12" t="n"/>
    </row>
    <row r="275" ht="15.75" customHeight="1" s="33">
      <c r="D275" s="12" t="n"/>
      <c r="F275" s="12" t="n"/>
    </row>
    <row r="276" ht="15.75" customHeight="1" s="33">
      <c r="D276" s="12" t="n"/>
      <c r="F276" s="12" t="n"/>
    </row>
    <row r="277" ht="15.75" customHeight="1" s="33">
      <c r="D277" s="12" t="n"/>
      <c r="F277" s="12" t="n"/>
    </row>
    <row r="278" ht="15.75" customHeight="1" s="33">
      <c r="D278" s="12" t="n"/>
      <c r="F278" s="12" t="n"/>
    </row>
    <row r="279" ht="15.75" customHeight="1" s="33">
      <c r="D279" s="12" t="n"/>
      <c r="F279" s="12" t="n"/>
    </row>
    <row r="280" ht="15.75" customHeight="1" s="33">
      <c r="D280" s="12" t="n"/>
      <c r="F280" s="12" t="n"/>
    </row>
    <row r="281" ht="15.75" customHeight="1" s="33">
      <c r="D281" s="12" t="n"/>
      <c r="F281" s="12" t="n"/>
    </row>
    <row r="282" ht="15.75" customHeight="1" s="33">
      <c r="D282" s="12" t="n"/>
      <c r="F282" s="12" t="n"/>
    </row>
    <row r="283" ht="15.75" customHeight="1" s="33">
      <c r="D283" s="12" t="n"/>
      <c r="F283" s="12" t="n"/>
    </row>
    <row r="284" ht="15.75" customHeight="1" s="33">
      <c r="D284" s="12" t="n"/>
      <c r="F284" s="12" t="n"/>
    </row>
    <row r="285" ht="15.75" customHeight="1" s="33">
      <c r="D285" s="12" t="n"/>
      <c r="F285" s="12" t="n"/>
    </row>
    <row r="286" ht="15.75" customHeight="1" s="33">
      <c r="D286" s="12" t="n"/>
      <c r="F286" s="12" t="n"/>
    </row>
    <row r="287" ht="15.75" customHeight="1" s="33">
      <c r="D287" s="12" t="n"/>
      <c r="F287" s="12" t="n"/>
    </row>
    <row r="288" ht="15.75" customHeight="1" s="33">
      <c r="D288" s="12" t="n"/>
      <c r="F288" s="12" t="n"/>
    </row>
    <row r="289" ht="15.75" customHeight="1" s="33">
      <c r="D289" s="12" t="n"/>
      <c r="F289" s="12" t="n"/>
    </row>
    <row r="290" ht="15.75" customHeight="1" s="33">
      <c r="D290" s="12" t="n"/>
      <c r="F290" s="12" t="n"/>
    </row>
    <row r="291" ht="15.75" customHeight="1" s="33">
      <c r="D291" s="12" t="n"/>
      <c r="F291" s="12" t="n"/>
    </row>
    <row r="292" ht="15.75" customHeight="1" s="33">
      <c r="D292" s="12" t="n"/>
      <c r="F292" s="12" t="n"/>
    </row>
    <row r="293" ht="15.75" customHeight="1" s="33">
      <c r="D293" s="12" t="n"/>
      <c r="F293" s="12" t="n"/>
    </row>
    <row r="294" ht="15.75" customHeight="1" s="33">
      <c r="D294" s="12" t="n"/>
      <c r="F294" s="12" t="n"/>
    </row>
    <row r="295" ht="15.75" customHeight="1" s="33">
      <c r="D295" s="12" t="n"/>
      <c r="F295" s="12" t="n"/>
    </row>
    <row r="296" ht="15.75" customHeight="1" s="33">
      <c r="D296" s="12" t="n"/>
      <c r="F296" s="12" t="n"/>
    </row>
    <row r="297" ht="15.75" customHeight="1" s="33">
      <c r="D297" s="12" t="n"/>
      <c r="F297" s="12" t="n"/>
    </row>
    <row r="298" ht="15.75" customHeight="1" s="33">
      <c r="D298" s="12" t="n"/>
      <c r="F298" s="12" t="n"/>
    </row>
    <row r="299" ht="15.75" customHeight="1" s="33">
      <c r="D299" s="12" t="n"/>
      <c r="F299" s="12" t="n"/>
    </row>
    <row r="300" ht="15.75" customHeight="1" s="33">
      <c r="D300" s="12" t="n"/>
      <c r="F300" s="12" t="n"/>
    </row>
    <row r="301" ht="15.75" customHeight="1" s="33">
      <c r="D301" s="12" t="n"/>
      <c r="F301" s="12" t="n"/>
    </row>
    <row r="302" ht="15.75" customHeight="1" s="33">
      <c r="D302" s="12" t="n"/>
      <c r="F302" s="12" t="n"/>
    </row>
    <row r="303" ht="15.75" customHeight="1" s="33">
      <c r="D303" s="12" t="n"/>
      <c r="F303" s="12" t="n"/>
    </row>
    <row r="304" ht="15.75" customHeight="1" s="33">
      <c r="D304" s="12" t="n"/>
      <c r="F304" s="12" t="n"/>
    </row>
    <row r="305" ht="15.75" customHeight="1" s="33">
      <c r="D305" s="12" t="n"/>
      <c r="F305" s="12" t="n"/>
    </row>
    <row r="306" ht="15.75" customHeight="1" s="33">
      <c r="D306" s="12" t="n"/>
      <c r="F306" s="12" t="n"/>
    </row>
    <row r="307" ht="15.75" customHeight="1" s="33">
      <c r="D307" s="12" t="n"/>
      <c r="F307" s="12" t="n"/>
    </row>
    <row r="308" ht="15.75" customHeight="1" s="33">
      <c r="D308" s="12" t="n"/>
      <c r="F308" s="12" t="n"/>
    </row>
    <row r="309" ht="15.75" customHeight="1" s="33">
      <c r="D309" s="12" t="n"/>
      <c r="F309" s="12" t="n"/>
    </row>
    <row r="310" ht="15.75" customHeight="1" s="33">
      <c r="D310" s="12" t="n"/>
      <c r="F310" s="12" t="n"/>
    </row>
    <row r="311" ht="15.75" customHeight="1" s="33">
      <c r="D311" s="12" t="n"/>
      <c r="F311" s="12" t="n"/>
    </row>
    <row r="312" ht="15.75" customHeight="1" s="33">
      <c r="D312" s="12" t="n"/>
      <c r="F312" s="12" t="n"/>
    </row>
    <row r="313" ht="15.75" customHeight="1" s="33">
      <c r="D313" s="12" t="n"/>
      <c r="F313" s="12" t="n"/>
    </row>
    <row r="314" ht="15.75" customHeight="1" s="33">
      <c r="D314" s="12" t="n"/>
      <c r="F314" s="12" t="n"/>
    </row>
    <row r="315" ht="15.75" customHeight="1" s="33">
      <c r="D315" s="12" t="n"/>
      <c r="F315" s="12" t="n"/>
    </row>
    <row r="316" ht="15.75" customHeight="1" s="33">
      <c r="D316" s="12" t="n"/>
      <c r="F316" s="12" t="n"/>
    </row>
    <row r="317" ht="15.75" customHeight="1" s="33">
      <c r="D317" s="12" t="n"/>
      <c r="F317" s="12" t="n"/>
    </row>
    <row r="318" ht="15.75" customHeight="1" s="33">
      <c r="D318" s="12" t="n"/>
      <c r="F318" s="12" t="n"/>
    </row>
    <row r="319" ht="15.75" customHeight="1" s="33">
      <c r="D319" s="12" t="n"/>
      <c r="F319" s="12" t="n"/>
    </row>
    <row r="320" ht="15.75" customHeight="1" s="33">
      <c r="D320" s="12" t="n"/>
      <c r="F320" s="12" t="n"/>
    </row>
    <row r="321" ht="15.75" customHeight="1" s="33">
      <c r="D321" s="12" t="n"/>
      <c r="F321" s="12" t="n"/>
    </row>
    <row r="322" ht="15.75" customHeight="1" s="33">
      <c r="D322" s="12" t="n"/>
      <c r="F322" s="12" t="n"/>
    </row>
    <row r="323" ht="15.75" customHeight="1" s="33">
      <c r="D323" s="12" t="n"/>
      <c r="F323" s="12" t="n"/>
    </row>
    <row r="324" ht="15.75" customHeight="1" s="33">
      <c r="D324" s="12" t="n"/>
      <c r="F324" s="12" t="n"/>
    </row>
    <row r="325" ht="15.75" customHeight="1" s="33">
      <c r="D325" s="12" t="n"/>
      <c r="F325" s="12" t="n"/>
    </row>
    <row r="326" ht="15.75" customHeight="1" s="33">
      <c r="D326" s="12" t="n"/>
      <c r="F326" s="12" t="n"/>
    </row>
    <row r="327" ht="15.75" customHeight="1" s="33">
      <c r="D327" s="12" t="n"/>
      <c r="F327" s="12" t="n"/>
    </row>
    <row r="328" ht="15.75" customHeight="1" s="33">
      <c r="D328" s="12" t="n"/>
      <c r="F328" s="12" t="n"/>
    </row>
    <row r="329" ht="15.75" customHeight="1" s="33">
      <c r="D329" s="12" t="n"/>
      <c r="F329" s="12" t="n"/>
    </row>
    <row r="330" ht="15.75" customHeight="1" s="33">
      <c r="D330" s="12" t="n"/>
      <c r="F330" s="12" t="n"/>
    </row>
    <row r="331" ht="15.75" customHeight="1" s="33">
      <c r="D331" s="12" t="n"/>
      <c r="F331" s="12" t="n"/>
    </row>
    <row r="332" ht="15.75" customHeight="1" s="33">
      <c r="D332" s="12" t="n"/>
      <c r="F332" s="12" t="n"/>
    </row>
    <row r="333" ht="15.75" customHeight="1" s="33">
      <c r="D333" s="12" t="n"/>
      <c r="F333" s="12" t="n"/>
    </row>
    <row r="334" ht="15.75" customHeight="1" s="33">
      <c r="D334" s="12" t="n"/>
      <c r="F334" s="12" t="n"/>
    </row>
    <row r="335" ht="15.75" customHeight="1" s="33">
      <c r="D335" s="12" t="n"/>
      <c r="F335" s="12" t="n"/>
    </row>
    <row r="336" ht="15.75" customHeight="1" s="33">
      <c r="D336" s="12" t="n"/>
      <c r="F336" s="12" t="n"/>
    </row>
    <row r="337" ht="15.75" customHeight="1" s="33">
      <c r="D337" s="12" t="n"/>
      <c r="F337" s="12" t="n"/>
    </row>
    <row r="338" ht="15.75" customHeight="1" s="33">
      <c r="D338" s="12" t="n"/>
      <c r="F338" s="12" t="n"/>
    </row>
    <row r="339" ht="15.75" customHeight="1" s="33">
      <c r="D339" s="12" t="n"/>
      <c r="F339" s="12" t="n"/>
    </row>
    <row r="340" ht="15.75" customHeight="1" s="33">
      <c r="D340" s="12" t="n"/>
      <c r="F340" s="12" t="n"/>
    </row>
    <row r="341" ht="15.75" customHeight="1" s="33">
      <c r="D341" s="12" t="n"/>
      <c r="F341" s="12" t="n"/>
    </row>
    <row r="342" ht="15.75" customHeight="1" s="33">
      <c r="D342" s="12" t="n"/>
      <c r="F342" s="12" t="n"/>
    </row>
    <row r="343" ht="15.75" customHeight="1" s="33">
      <c r="D343" s="12" t="n"/>
      <c r="F343" s="12" t="n"/>
    </row>
    <row r="344" ht="15.75" customHeight="1" s="33">
      <c r="D344" s="12" t="n"/>
      <c r="F344" s="12" t="n"/>
    </row>
    <row r="345" ht="15.75" customHeight="1" s="33">
      <c r="D345" s="12" t="n"/>
      <c r="F345" s="12" t="n"/>
    </row>
    <row r="346" ht="15.75" customHeight="1" s="33">
      <c r="D346" s="12" t="n"/>
      <c r="F346" s="12" t="n"/>
    </row>
    <row r="347" ht="15.75" customHeight="1" s="33">
      <c r="D347" s="12" t="n"/>
      <c r="F347" s="12" t="n"/>
    </row>
    <row r="348" ht="15.75" customHeight="1" s="33">
      <c r="D348" s="12" t="n"/>
      <c r="F348" s="12" t="n"/>
    </row>
    <row r="349" ht="15.75" customHeight="1" s="33">
      <c r="D349" s="12" t="n"/>
      <c r="F349" s="12" t="n"/>
    </row>
    <row r="350" ht="15.75" customHeight="1" s="33">
      <c r="D350" s="12" t="n"/>
      <c r="F350" s="12" t="n"/>
    </row>
    <row r="351" ht="15.75" customHeight="1" s="33">
      <c r="D351" s="12" t="n"/>
      <c r="F351" s="12" t="n"/>
    </row>
    <row r="352" ht="15.75" customHeight="1" s="33">
      <c r="D352" s="12" t="n"/>
      <c r="F352" s="12" t="n"/>
    </row>
    <row r="353" ht="15.75" customHeight="1" s="33">
      <c r="D353" s="12" t="n"/>
      <c r="F353" s="12" t="n"/>
    </row>
    <row r="354" ht="15.75" customHeight="1" s="33">
      <c r="D354" s="12" t="n"/>
      <c r="F354" s="12" t="n"/>
    </row>
    <row r="355" ht="15.75" customHeight="1" s="33">
      <c r="D355" s="12" t="n"/>
      <c r="F355" s="12" t="n"/>
    </row>
    <row r="356" ht="15.75" customHeight="1" s="33">
      <c r="D356" s="12" t="n"/>
      <c r="F356" s="12" t="n"/>
    </row>
    <row r="357" ht="15.75" customHeight="1" s="33">
      <c r="D357" s="12" t="n"/>
      <c r="F357" s="12" t="n"/>
    </row>
    <row r="358" ht="15.75" customHeight="1" s="33">
      <c r="D358" s="12" t="n"/>
      <c r="F358" s="12" t="n"/>
    </row>
    <row r="359" ht="15.75" customHeight="1" s="33">
      <c r="D359" s="12" t="n"/>
      <c r="F359" s="12" t="n"/>
    </row>
    <row r="360" ht="15.75" customHeight="1" s="33">
      <c r="D360" s="12" t="n"/>
      <c r="F360" s="12" t="n"/>
    </row>
    <row r="361" ht="15.75" customHeight="1" s="33">
      <c r="D361" s="12" t="n"/>
      <c r="F361" s="12" t="n"/>
    </row>
    <row r="362" ht="15.75" customHeight="1" s="33">
      <c r="D362" s="12" t="n"/>
      <c r="F362" s="12" t="n"/>
    </row>
    <row r="363" ht="15.75" customHeight="1" s="33">
      <c r="D363" s="12" t="n"/>
      <c r="F363" s="12" t="n"/>
    </row>
    <row r="364" ht="15.75" customHeight="1" s="33">
      <c r="D364" s="12" t="n"/>
      <c r="F364" s="12" t="n"/>
    </row>
    <row r="365" ht="15.75" customHeight="1" s="33">
      <c r="D365" s="12" t="n"/>
      <c r="F365" s="12" t="n"/>
    </row>
    <row r="366" ht="15.75" customHeight="1" s="33">
      <c r="D366" s="12" t="n"/>
      <c r="F366" s="12" t="n"/>
    </row>
    <row r="367" ht="15.75" customHeight="1" s="33">
      <c r="D367" s="12" t="n"/>
      <c r="F367" s="12" t="n"/>
    </row>
    <row r="368" ht="15.75" customHeight="1" s="33">
      <c r="D368" s="12" t="n"/>
      <c r="F368" s="12" t="n"/>
    </row>
    <row r="369" ht="15.75" customHeight="1" s="33">
      <c r="D369" s="12" t="n"/>
      <c r="F369" s="12" t="n"/>
    </row>
    <row r="370" ht="15.75" customHeight="1" s="33">
      <c r="D370" s="12" t="n"/>
      <c r="F370" s="12" t="n"/>
    </row>
    <row r="371" ht="15.75" customHeight="1" s="33">
      <c r="D371" s="12" t="n"/>
      <c r="F371" s="12" t="n"/>
    </row>
    <row r="372" ht="15.75" customHeight="1" s="33">
      <c r="D372" s="12" t="n"/>
      <c r="F372" s="12" t="n"/>
    </row>
    <row r="373" ht="15.75" customHeight="1" s="33">
      <c r="D373" s="12" t="n"/>
      <c r="F373" s="12" t="n"/>
    </row>
    <row r="374" ht="15.75" customHeight="1" s="33">
      <c r="D374" s="12" t="n"/>
      <c r="F374" s="12" t="n"/>
    </row>
    <row r="375" ht="15.75" customHeight="1" s="33">
      <c r="D375" s="12" t="n"/>
      <c r="F375" s="12" t="n"/>
    </row>
    <row r="376" ht="15.75" customHeight="1" s="33">
      <c r="D376" s="12" t="n"/>
      <c r="F376" s="12" t="n"/>
    </row>
    <row r="377" ht="15.75" customHeight="1" s="33">
      <c r="D377" s="12" t="n"/>
      <c r="F377" s="12" t="n"/>
    </row>
    <row r="378" ht="15.75" customHeight="1" s="33">
      <c r="D378" s="12" t="n"/>
      <c r="F378" s="12" t="n"/>
    </row>
    <row r="379" ht="15.75" customHeight="1" s="33">
      <c r="D379" s="12" t="n"/>
      <c r="F379" s="12" t="n"/>
    </row>
    <row r="380" ht="15.75" customHeight="1" s="33">
      <c r="D380" s="12" t="n"/>
      <c r="F380" s="12" t="n"/>
    </row>
    <row r="381" ht="15.75" customHeight="1" s="33">
      <c r="D381" s="12" t="n"/>
      <c r="F381" s="12" t="n"/>
    </row>
    <row r="382" ht="15.75" customHeight="1" s="33">
      <c r="D382" s="12" t="n"/>
      <c r="F382" s="12" t="n"/>
    </row>
    <row r="383" ht="15.75" customHeight="1" s="33">
      <c r="D383" s="12" t="n"/>
      <c r="F383" s="12" t="n"/>
    </row>
    <row r="384" ht="15.75" customHeight="1" s="33">
      <c r="D384" s="12" t="n"/>
      <c r="F384" s="12" t="n"/>
    </row>
    <row r="385" ht="15.75" customHeight="1" s="33">
      <c r="D385" s="12" t="n"/>
      <c r="F385" s="12" t="n"/>
    </row>
    <row r="386" ht="15.75" customHeight="1" s="33">
      <c r="D386" s="12" t="n"/>
      <c r="F386" s="12" t="n"/>
    </row>
    <row r="387" ht="15.75" customHeight="1" s="33">
      <c r="D387" s="12" t="n"/>
      <c r="F387" s="12" t="n"/>
    </row>
    <row r="388" ht="15.75" customHeight="1" s="33">
      <c r="D388" s="12" t="n"/>
      <c r="F388" s="12" t="n"/>
    </row>
    <row r="389" ht="15.75" customHeight="1" s="33">
      <c r="D389" s="12" t="n"/>
      <c r="F389" s="12" t="n"/>
    </row>
    <row r="390" ht="15.75" customHeight="1" s="33">
      <c r="D390" s="12" t="n"/>
      <c r="F390" s="12" t="n"/>
    </row>
    <row r="391" ht="15.75" customHeight="1" s="33">
      <c r="D391" s="12" t="n"/>
      <c r="F391" s="12" t="n"/>
    </row>
    <row r="392" ht="15.75" customHeight="1" s="33">
      <c r="D392" s="12" t="n"/>
      <c r="F392" s="12" t="n"/>
    </row>
    <row r="393" ht="15.75" customHeight="1" s="33">
      <c r="D393" s="12" t="n"/>
      <c r="F393" s="12" t="n"/>
    </row>
    <row r="394" ht="15.75" customHeight="1" s="33">
      <c r="D394" s="12" t="n"/>
      <c r="F394" s="12" t="n"/>
    </row>
    <row r="395" ht="15.75" customHeight="1" s="33">
      <c r="D395" s="12" t="n"/>
      <c r="F395" s="12" t="n"/>
    </row>
    <row r="396" ht="15.75" customHeight="1" s="33">
      <c r="D396" s="12" t="n"/>
      <c r="F396" s="12" t="n"/>
    </row>
    <row r="397" ht="15.75" customHeight="1" s="33">
      <c r="D397" s="12" t="n"/>
      <c r="F397" s="12" t="n"/>
    </row>
    <row r="398" ht="15.75" customHeight="1" s="33">
      <c r="D398" s="12" t="n"/>
      <c r="F398" s="12" t="n"/>
    </row>
    <row r="399" ht="15.75" customHeight="1" s="33">
      <c r="D399" s="12" t="n"/>
      <c r="F399" s="12" t="n"/>
    </row>
    <row r="400" ht="15.75" customHeight="1" s="33">
      <c r="D400" s="12" t="n"/>
      <c r="F400" s="12" t="n"/>
    </row>
    <row r="401" ht="15.75" customHeight="1" s="33">
      <c r="D401" s="12" t="n"/>
      <c r="F401" s="12" t="n"/>
    </row>
    <row r="402" ht="15.75" customHeight="1" s="33">
      <c r="D402" s="12" t="n"/>
      <c r="F402" s="12" t="n"/>
    </row>
    <row r="403" ht="15.75" customHeight="1" s="33">
      <c r="D403" s="12" t="n"/>
      <c r="F403" s="12" t="n"/>
    </row>
    <row r="404" ht="15.75" customHeight="1" s="33">
      <c r="D404" s="12" t="n"/>
      <c r="F404" s="12" t="n"/>
    </row>
    <row r="405" ht="15.75" customHeight="1" s="33">
      <c r="D405" s="12" t="n"/>
      <c r="F405" s="12" t="n"/>
    </row>
    <row r="406" ht="15.75" customHeight="1" s="33">
      <c r="D406" s="12" t="n"/>
      <c r="F406" s="12" t="n"/>
    </row>
    <row r="407" ht="15.75" customHeight="1" s="33">
      <c r="D407" s="12" t="n"/>
      <c r="F407" s="12" t="n"/>
    </row>
    <row r="408" ht="15.75" customHeight="1" s="33">
      <c r="D408" s="12" t="n"/>
      <c r="F408" s="12" t="n"/>
    </row>
    <row r="409" ht="15.75" customHeight="1" s="33">
      <c r="D409" s="12" t="n"/>
      <c r="F409" s="12" t="n"/>
    </row>
    <row r="410" ht="15.75" customHeight="1" s="33">
      <c r="D410" s="12" t="n"/>
      <c r="F410" s="12" t="n"/>
    </row>
    <row r="411" ht="15.75" customHeight="1" s="33">
      <c r="D411" s="12" t="n"/>
      <c r="F411" s="12" t="n"/>
    </row>
    <row r="412" ht="15.75" customHeight="1" s="33">
      <c r="D412" s="12" t="n"/>
      <c r="F412" s="12" t="n"/>
    </row>
    <row r="413" ht="15.75" customHeight="1" s="33">
      <c r="D413" s="12" t="n"/>
      <c r="F413" s="12" t="n"/>
    </row>
    <row r="414" ht="15.75" customHeight="1" s="33">
      <c r="D414" s="12" t="n"/>
      <c r="F414" s="12" t="n"/>
    </row>
    <row r="415" ht="15.75" customHeight="1" s="33">
      <c r="D415" s="12" t="n"/>
      <c r="F415" s="12" t="n"/>
    </row>
    <row r="416" ht="15.75" customHeight="1" s="33">
      <c r="D416" s="12" t="n"/>
      <c r="F416" s="12" t="n"/>
    </row>
    <row r="417" ht="15.75" customHeight="1" s="33">
      <c r="D417" s="12" t="n"/>
      <c r="F417" s="12" t="n"/>
    </row>
    <row r="418" ht="15.75" customHeight="1" s="33">
      <c r="D418" s="12" t="n"/>
      <c r="F418" s="12" t="n"/>
    </row>
    <row r="419" ht="15.75" customHeight="1" s="33">
      <c r="D419" s="12" t="n"/>
      <c r="F419" s="12" t="n"/>
    </row>
    <row r="420" ht="15.75" customHeight="1" s="33">
      <c r="D420" s="12" t="n"/>
      <c r="F420" s="12" t="n"/>
    </row>
    <row r="421" ht="15.75" customHeight="1" s="33">
      <c r="D421" s="12" t="n"/>
      <c r="F421" s="12" t="n"/>
    </row>
    <row r="422" ht="15.75" customHeight="1" s="33">
      <c r="D422" s="12" t="n"/>
      <c r="F422" s="12" t="n"/>
    </row>
    <row r="423" ht="15.75" customHeight="1" s="33">
      <c r="D423" s="12" t="n"/>
      <c r="F423" s="12" t="n"/>
    </row>
    <row r="424" ht="15.75" customHeight="1" s="33">
      <c r="D424" s="12" t="n"/>
      <c r="F424" s="12" t="n"/>
    </row>
    <row r="425" ht="15.75" customHeight="1" s="33">
      <c r="D425" s="12" t="n"/>
      <c r="F425" s="12" t="n"/>
    </row>
    <row r="426" ht="15.75" customHeight="1" s="33">
      <c r="D426" s="12" t="n"/>
      <c r="F426" s="12" t="n"/>
    </row>
    <row r="427" ht="15.75" customHeight="1" s="33">
      <c r="D427" s="12" t="n"/>
      <c r="F427" s="12" t="n"/>
    </row>
    <row r="428" ht="15.75" customHeight="1" s="33">
      <c r="D428" s="12" t="n"/>
      <c r="F428" s="12" t="n"/>
    </row>
    <row r="429" ht="15.75" customHeight="1" s="33">
      <c r="D429" s="12" t="n"/>
      <c r="F429" s="12" t="n"/>
    </row>
    <row r="430" ht="15.75" customHeight="1" s="33">
      <c r="D430" s="12" t="n"/>
      <c r="F430" s="12" t="n"/>
    </row>
    <row r="431" ht="15.75" customHeight="1" s="33">
      <c r="D431" s="12" t="n"/>
      <c r="F431" s="12" t="n"/>
    </row>
    <row r="432" ht="15.75" customHeight="1" s="33">
      <c r="D432" s="12" t="n"/>
      <c r="F432" s="12" t="n"/>
    </row>
    <row r="433" ht="15.75" customHeight="1" s="33">
      <c r="D433" s="12" t="n"/>
      <c r="F433" s="12" t="n"/>
    </row>
    <row r="434" ht="15.75" customHeight="1" s="33">
      <c r="D434" s="12" t="n"/>
      <c r="F434" s="12" t="n"/>
    </row>
    <row r="435" ht="15.75" customHeight="1" s="33">
      <c r="D435" s="12" t="n"/>
      <c r="F435" s="12" t="n"/>
    </row>
    <row r="436" ht="15.75" customHeight="1" s="33">
      <c r="D436" s="12" t="n"/>
      <c r="F436" s="12" t="n"/>
    </row>
    <row r="437" ht="15.75" customHeight="1" s="33">
      <c r="D437" s="12" t="n"/>
      <c r="F437" s="12" t="n"/>
    </row>
    <row r="438" ht="15.75" customHeight="1" s="33">
      <c r="D438" s="12" t="n"/>
      <c r="F438" s="12" t="n"/>
    </row>
    <row r="439" ht="15.75" customHeight="1" s="33">
      <c r="D439" s="12" t="n"/>
      <c r="F439" s="12" t="n"/>
    </row>
    <row r="440" ht="15.75" customHeight="1" s="33">
      <c r="D440" s="12" t="n"/>
      <c r="F440" s="12" t="n"/>
    </row>
    <row r="441" ht="15.75" customHeight="1" s="33">
      <c r="D441" s="12" t="n"/>
      <c r="F441" s="12" t="n"/>
    </row>
    <row r="442" ht="15.75" customHeight="1" s="33">
      <c r="D442" s="12" t="n"/>
      <c r="F442" s="12" t="n"/>
    </row>
    <row r="443" ht="15.75" customHeight="1" s="33">
      <c r="D443" s="12" t="n"/>
      <c r="F443" s="12" t="n"/>
    </row>
    <row r="444" ht="15.75" customHeight="1" s="33">
      <c r="D444" s="12" t="n"/>
      <c r="F444" s="12" t="n"/>
    </row>
    <row r="445" ht="15.75" customHeight="1" s="33">
      <c r="D445" s="12" t="n"/>
      <c r="F445" s="12" t="n"/>
    </row>
    <row r="446" ht="15.75" customHeight="1" s="33">
      <c r="D446" s="12" t="n"/>
      <c r="F446" s="12" t="n"/>
    </row>
    <row r="447" ht="15.75" customHeight="1" s="33">
      <c r="D447" s="12" t="n"/>
      <c r="F447" s="12" t="n"/>
    </row>
    <row r="448" ht="15.75" customHeight="1" s="33">
      <c r="D448" s="12" t="n"/>
      <c r="F448" s="12" t="n"/>
    </row>
    <row r="449" ht="15.75" customHeight="1" s="33">
      <c r="D449" s="12" t="n"/>
      <c r="F449" s="12" t="n"/>
    </row>
    <row r="450" ht="15.75" customHeight="1" s="33">
      <c r="D450" s="12" t="n"/>
      <c r="F450" s="12" t="n"/>
    </row>
    <row r="451" ht="15.75" customHeight="1" s="33">
      <c r="D451" s="12" t="n"/>
      <c r="F451" s="12" t="n"/>
    </row>
    <row r="452" ht="15.75" customHeight="1" s="33">
      <c r="D452" s="12" t="n"/>
      <c r="F452" s="12" t="n"/>
    </row>
    <row r="453" ht="15.75" customHeight="1" s="33">
      <c r="D453" s="12" t="n"/>
      <c r="F453" s="12" t="n"/>
    </row>
    <row r="454" ht="15.75" customHeight="1" s="33">
      <c r="D454" s="12" t="n"/>
      <c r="F454" s="12" t="n"/>
    </row>
    <row r="455" ht="15.75" customHeight="1" s="33">
      <c r="D455" s="12" t="n"/>
      <c r="F455" s="12" t="n"/>
    </row>
    <row r="456" ht="15.75" customHeight="1" s="33">
      <c r="D456" s="12" t="n"/>
      <c r="F456" s="12" t="n"/>
    </row>
    <row r="457" ht="15.75" customHeight="1" s="33">
      <c r="D457" s="12" t="n"/>
      <c r="F457" s="12" t="n"/>
    </row>
    <row r="458" ht="15.75" customHeight="1" s="33">
      <c r="D458" s="12" t="n"/>
      <c r="F458" s="12" t="n"/>
    </row>
    <row r="459" ht="15.75" customHeight="1" s="33">
      <c r="D459" s="12" t="n"/>
      <c r="F459" s="12" t="n"/>
    </row>
    <row r="460" ht="15.75" customHeight="1" s="33">
      <c r="D460" s="12" t="n"/>
      <c r="F460" s="12" t="n"/>
    </row>
    <row r="461" ht="15.75" customHeight="1" s="33">
      <c r="D461" s="12" t="n"/>
      <c r="F461" s="12" t="n"/>
    </row>
    <row r="462" ht="15.75" customHeight="1" s="33">
      <c r="D462" s="12" t="n"/>
      <c r="F462" s="12" t="n"/>
    </row>
    <row r="463" ht="15.75" customHeight="1" s="33">
      <c r="D463" s="12" t="n"/>
      <c r="F463" s="12" t="n"/>
    </row>
    <row r="464" ht="15.75" customHeight="1" s="33">
      <c r="D464" s="12" t="n"/>
      <c r="F464" s="12" t="n"/>
    </row>
    <row r="465" ht="15.75" customHeight="1" s="33">
      <c r="D465" s="12" t="n"/>
      <c r="F465" s="12" t="n"/>
    </row>
    <row r="466" ht="15.75" customHeight="1" s="33">
      <c r="D466" s="12" t="n"/>
      <c r="F466" s="12" t="n"/>
    </row>
    <row r="467" ht="15.75" customHeight="1" s="33">
      <c r="D467" s="12" t="n"/>
      <c r="F467" s="12" t="n"/>
    </row>
    <row r="468" ht="15.75" customHeight="1" s="33">
      <c r="D468" s="12" t="n"/>
      <c r="F468" s="12" t="n"/>
    </row>
    <row r="469" ht="15.75" customHeight="1" s="33">
      <c r="D469" s="12" t="n"/>
      <c r="F469" s="12" t="n"/>
    </row>
    <row r="470" ht="15.75" customHeight="1" s="33">
      <c r="D470" s="12" t="n"/>
      <c r="F470" s="12" t="n"/>
    </row>
    <row r="471" ht="15.75" customHeight="1" s="33">
      <c r="D471" s="12" t="n"/>
      <c r="F471" s="12" t="n"/>
    </row>
    <row r="472" ht="15.75" customHeight="1" s="33">
      <c r="D472" s="12" t="n"/>
      <c r="F472" s="12" t="n"/>
    </row>
    <row r="473" ht="15.75" customHeight="1" s="33">
      <c r="D473" s="12" t="n"/>
      <c r="F473" s="12" t="n"/>
    </row>
    <row r="474" ht="15.75" customHeight="1" s="33">
      <c r="D474" s="12" t="n"/>
      <c r="F474" s="12" t="n"/>
    </row>
    <row r="475" ht="15.75" customHeight="1" s="33">
      <c r="D475" s="12" t="n"/>
      <c r="F475" s="12" t="n"/>
    </row>
    <row r="476" ht="15.75" customHeight="1" s="33">
      <c r="D476" s="12" t="n"/>
      <c r="F476" s="12" t="n"/>
    </row>
    <row r="477" ht="15.75" customHeight="1" s="33">
      <c r="D477" s="12" t="n"/>
      <c r="F477" s="12" t="n"/>
    </row>
    <row r="478" ht="15.75" customHeight="1" s="33">
      <c r="D478" s="12" t="n"/>
      <c r="F478" s="12" t="n"/>
    </row>
    <row r="479" ht="15.75" customHeight="1" s="33">
      <c r="D479" s="12" t="n"/>
      <c r="F479" s="12" t="n"/>
    </row>
    <row r="480" ht="15.75" customHeight="1" s="33">
      <c r="D480" s="12" t="n"/>
      <c r="F480" s="12" t="n"/>
    </row>
    <row r="481" ht="15.75" customHeight="1" s="33">
      <c r="D481" s="12" t="n"/>
      <c r="F481" s="12" t="n"/>
    </row>
    <row r="482" ht="15.75" customHeight="1" s="33">
      <c r="D482" s="12" t="n"/>
      <c r="F482" s="12" t="n"/>
    </row>
    <row r="483" ht="15.75" customHeight="1" s="33">
      <c r="D483" s="12" t="n"/>
      <c r="F483" s="12" t="n"/>
    </row>
    <row r="484" ht="15.75" customHeight="1" s="33">
      <c r="D484" s="12" t="n"/>
      <c r="F484" s="12" t="n"/>
    </row>
    <row r="485" ht="15.75" customHeight="1" s="33">
      <c r="D485" s="12" t="n"/>
      <c r="F485" s="12" t="n"/>
    </row>
    <row r="486" ht="15.75" customHeight="1" s="33">
      <c r="D486" s="12" t="n"/>
      <c r="F486" s="12" t="n"/>
    </row>
    <row r="487" ht="15.75" customHeight="1" s="33">
      <c r="D487" s="12" t="n"/>
      <c r="F487" s="12" t="n"/>
    </row>
    <row r="488" ht="15.75" customHeight="1" s="33">
      <c r="D488" s="12" t="n"/>
      <c r="F488" s="12" t="n"/>
    </row>
    <row r="489" ht="15.75" customHeight="1" s="33">
      <c r="D489" s="12" t="n"/>
      <c r="F489" s="12" t="n"/>
    </row>
    <row r="490" ht="15.75" customHeight="1" s="33">
      <c r="D490" s="12" t="n"/>
      <c r="F490" s="12" t="n"/>
    </row>
    <row r="491" ht="15.75" customHeight="1" s="33">
      <c r="D491" s="12" t="n"/>
      <c r="F491" s="12" t="n"/>
    </row>
    <row r="492" ht="15.75" customHeight="1" s="33">
      <c r="D492" s="12" t="n"/>
      <c r="F492" s="12" t="n"/>
    </row>
    <row r="493" ht="15.75" customHeight="1" s="33">
      <c r="D493" s="12" t="n"/>
      <c r="F493" s="12" t="n"/>
    </row>
    <row r="494" ht="15.75" customHeight="1" s="33">
      <c r="D494" s="12" t="n"/>
      <c r="F494" s="12" t="n"/>
    </row>
    <row r="495" ht="15.75" customHeight="1" s="33">
      <c r="D495" s="12" t="n"/>
      <c r="F495" s="12" t="n"/>
    </row>
    <row r="496" ht="15.75" customHeight="1" s="33">
      <c r="D496" s="12" t="n"/>
      <c r="F496" s="12" t="n"/>
    </row>
    <row r="497" ht="15.75" customHeight="1" s="33">
      <c r="D497" s="12" t="n"/>
      <c r="F497" s="12" t="n"/>
    </row>
    <row r="498" ht="15.75" customHeight="1" s="33">
      <c r="D498" s="12" t="n"/>
      <c r="F498" s="12" t="n"/>
    </row>
    <row r="499" ht="15.75" customHeight="1" s="33">
      <c r="D499" s="12" t="n"/>
      <c r="F499" s="12" t="n"/>
    </row>
    <row r="500" ht="15.75" customHeight="1" s="33">
      <c r="D500" s="12" t="n"/>
      <c r="F500" s="12" t="n"/>
    </row>
    <row r="501" ht="15.75" customHeight="1" s="33">
      <c r="D501" s="12" t="n"/>
      <c r="F501" s="12" t="n"/>
    </row>
    <row r="502" ht="15.75" customHeight="1" s="33">
      <c r="D502" s="12" t="n"/>
      <c r="F502" s="12" t="n"/>
    </row>
    <row r="503" ht="15.75" customHeight="1" s="33">
      <c r="D503" s="12" t="n"/>
      <c r="F503" s="12" t="n"/>
    </row>
    <row r="504" ht="15.75" customHeight="1" s="33">
      <c r="D504" s="12" t="n"/>
      <c r="F504" s="12" t="n"/>
    </row>
    <row r="505" ht="15.75" customHeight="1" s="33">
      <c r="D505" s="12" t="n"/>
      <c r="F505" s="12" t="n"/>
    </row>
    <row r="506" ht="15.75" customHeight="1" s="33">
      <c r="D506" s="12" t="n"/>
      <c r="F506" s="12" t="n"/>
    </row>
    <row r="507" ht="15.75" customHeight="1" s="33">
      <c r="D507" s="12" t="n"/>
      <c r="F507" s="12" t="n"/>
    </row>
    <row r="508" ht="15.75" customHeight="1" s="33">
      <c r="D508" s="12" t="n"/>
      <c r="F508" s="12" t="n"/>
    </row>
    <row r="509" ht="15.75" customHeight="1" s="33">
      <c r="D509" s="12" t="n"/>
      <c r="F509" s="12" t="n"/>
    </row>
    <row r="510" ht="15.75" customHeight="1" s="33">
      <c r="D510" s="12" t="n"/>
      <c r="F510" s="12" t="n"/>
    </row>
    <row r="511" ht="15.75" customHeight="1" s="33">
      <c r="D511" s="12" t="n"/>
      <c r="F511" s="12" t="n"/>
    </row>
    <row r="512" ht="15.75" customHeight="1" s="33">
      <c r="D512" s="12" t="n"/>
      <c r="F512" s="12" t="n"/>
    </row>
    <row r="513" ht="15.75" customHeight="1" s="33">
      <c r="D513" s="12" t="n"/>
      <c r="F513" s="12" t="n"/>
    </row>
    <row r="514" ht="15.75" customHeight="1" s="33">
      <c r="D514" s="12" t="n"/>
      <c r="F514" s="12" t="n"/>
    </row>
    <row r="515" ht="15.75" customHeight="1" s="33">
      <c r="D515" s="12" t="n"/>
      <c r="F515" s="12" t="n"/>
    </row>
    <row r="516" ht="15.75" customHeight="1" s="33">
      <c r="D516" s="12" t="n"/>
      <c r="F516" s="12" t="n"/>
    </row>
    <row r="517" ht="15.75" customHeight="1" s="33">
      <c r="D517" s="12" t="n"/>
      <c r="F517" s="12" t="n"/>
    </row>
    <row r="518" ht="15.75" customHeight="1" s="33">
      <c r="D518" s="12" t="n"/>
      <c r="F518" s="12" t="n"/>
    </row>
    <row r="519" ht="15.75" customHeight="1" s="33">
      <c r="D519" s="12" t="n"/>
      <c r="F519" s="12" t="n"/>
    </row>
    <row r="520" ht="15.75" customHeight="1" s="33">
      <c r="D520" s="12" t="n"/>
      <c r="F520" s="12" t="n"/>
    </row>
    <row r="521" ht="15.75" customHeight="1" s="33">
      <c r="D521" s="12" t="n"/>
      <c r="F521" s="12" t="n"/>
    </row>
    <row r="522" ht="15.75" customHeight="1" s="33">
      <c r="D522" s="12" t="n"/>
      <c r="F522" s="12" t="n"/>
    </row>
    <row r="523" ht="15.75" customHeight="1" s="33">
      <c r="D523" s="12" t="n"/>
      <c r="F523" s="12" t="n"/>
    </row>
    <row r="524" ht="15.75" customHeight="1" s="33">
      <c r="D524" s="12" t="n"/>
      <c r="F524" s="12" t="n"/>
    </row>
    <row r="525" ht="15.75" customHeight="1" s="33">
      <c r="D525" s="12" t="n"/>
      <c r="F525" s="12" t="n"/>
    </row>
    <row r="526" ht="15.75" customHeight="1" s="33">
      <c r="D526" s="12" t="n"/>
      <c r="F526" s="12" t="n"/>
    </row>
    <row r="527" ht="15.75" customHeight="1" s="33">
      <c r="D527" s="12" t="n"/>
      <c r="F527" s="12" t="n"/>
    </row>
    <row r="528" ht="15.75" customHeight="1" s="33">
      <c r="D528" s="12" t="n"/>
      <c r="F528" s="12" t="n"/>
    </row>
    <row r="529" ht="15.75" customHeight="1" s="33">
      <c r="D529" s="12" t="n"/>
      <c r="F529" s="12" t="n"/>
    </row>
    <row r="530" ht="15.75" customHeight="1" s="33">
      <c r="D530" s="12" t="n"/>
      <c r="F530" s="12" t="n"/>
    </row>
    <row r="531" ht="15.75" customHeight="1" s="33">
      <c r="D531" s="12" t="n"/>
      <c r="F531" s="12" t="n"/>
    </row>
    <row r="532" ht="15.75" customHeight="1" s="33">
      <c r="D532" s="12" t="n"/>
      <c r="F532" s="12" t="n"/>
    </row>
    <row r="533" ht="15.75" customHeight="1" s="33">
      <c r="D533" s="12" t="n"/>
      <c r="F533" s="12" t="n"/>
    </row>
    <row r="534" ht="15.75" customHeight="1" s="33">
      <c r="D534" s="12" t="n"/>
      <c r="F534" s="12" t="n"/>
    </row>
    <row r="535" ht="15.75" customHeight="1" s="33">
      <c r="D535" s="12" t="n"/>
      <c r="F535" s="12" t="n"/>
    </row>
    <row r="536" ht="15.75" customHeight="1" s="33">
      <c r="D536" s="12" t="n"/>
      <c r="F536" s="12" t="n"/>
    </row>
    <row r="537" ht="15.75" customHeight="1" s="33">
      <c r="D537" s="12" t="n"/>
      <c r="F537" s="12" t="n"/>
    </row>
    <row r="538" ht="15.75" customHeight="1" s="33">
      <c r="D538" s="12" t="n"/>
      <c r="F538" s="12" t="n"/>
    </row>
    <row r="539" ht="15.75" customHeight="1" s="33">
      <c r="D539" s="12" t="n"/>
      <c r="F539" s="12" t="n"/>
    </row>
    <row r="540" ht="15.75" customHeight="1" s="33">
      <c r="D540" s="12" t="n"/>
      <c r="F540" s="12" t="n"/>
    </row>
    <row r="541" ht="15.75" customHeight="1" s="33">
      <c r="D541" s="12" t="n"/>
      <c r="F541" s="12" t="n"/>
    </row>
    <row r="542" ht="15.75" customHeight="1" s="33">
      <c r="D542" s="12" t="n"/>
      <c r="F542" s="12" t="n"/>
    </row>
    <row r="543" ht="15.75" customHeight="1" s="33">
      <c r="D543" s="12" t="n"/>
      <c r="F543" s="12" t="n"/>
    </row>
    <row r="544" ht="15.75" customHeight="1" s="33">
      <c r="D544" s="12" t="n"/>
      <c r="F544" s="12" t="n"/>
    </row>
    <row r="545" ht="15.75" customHeight="1" s="33">
      <c r="D545" s="12" t="n"/>
      <c r="F545" s="12" t="n"/>
    </row>
    <row r="546" ht="15.75" customHeight="1" s="33">
      <c r="D546" s="12" t="n"/>
      <c r="F546" s="12" t="n"/>
    </row>
    <row r="547" ht="15.75" customHeight="1" s="33">
      <c r="D547" s="12" t="n"/>
      <c r="F547" s="12" t="n"/>
    </row>
    <row r="548" ht="15.75" customHeight="1" s="33">
      <c r="D548" s="12" t="n"/>
      <c r="F548" s="12" t="n"/>
    </row>
    <row r="549" ht="15.75" customHeight="1" s="33">
      <c r="D549" s="12" t="n"/>
      <c r="F549" s="12" t="n"/>
    </row>
    <row r="550" ht="15.75" customHeight="1" s="33">
      <c r="D550" s="12" t="n"/>
      <c r="F550" s="12" t="n"/>
    </row>
    <row r="551" ht="15.75" customHeight="1" s="33">
      <c r="D551" s="12" t="n"/>
      <c r="F551" s="12" t="n"/>
    </row>
    <row r="552" ht="15.75" customHeight="1" s="33">
      <c r="D552" s="12" t="n"/>
      <c r="F552" s="12" t="n"/>
    </row>
    <row r="553" ht="15.75" customHeight="1" s="33">
      <c r="D553" s="12" t="n"/>
      <c r="F553" s="12" t="n"/>
    </row>
    <row r="554" ht="15.75" customHeight="1" s="33">
      <c r="D554" s="12" t="n"/>
      <c r="F554" s="12" t="n"/>
    </row>
    <row r="555" ht="15.75" customHeight="1" s="33">
      <c r="D555" s="12" t="n"/>
      <c r="F555" s="12" t="n"/>
    </row>
    <row r="556" ht="15.75" customHeight="1" s="33">
      <c r="D556" s="12" t="n"/>
      <c r="F556" s="12" t="n"/>
    </row>
    <row r="557" ht="15.75" customHeight="1" s="33">
      <c r="D557" s="12" t="n"/>
      <c r="F557" s="12" t="n"/>
    </row>
    <row r="558" ht="15.75" customHeight="1" s="33">
      <c r="D558" s="12" t="n"/>
      <c r="F558" s="12" t="n"/>
    </row>
    <row r="559" ht="15.75" customHeight="1" s="33">
      <c r="D559" s="12" t="n"/>
      <c r="F559" s="12" t="n"/>
    </row>
    <row r="560" ht="15.75" customHeight="1" s="33">
      <c r="D560" s="12" t="n"/>
      <c r="F560" s="12" t="n"/>
    </row>
    <row r="561" ht="15.75" customHeight="1" s="33">
      <c r="D561" s="12" t="n"/>
      <c r="F561" s="12" t="n"/>
    </row>
    <row r="562" ht="15.75" customHeight="1" s="33">
      <c r="D562" s="12" t="n"/>
      <c r="F562" s="12" t="n"/>
    </row>
    <row r="563" ht="15.75" customHeight="1" s="33">
      <c r="D563" s="12" t="n"/>
      <c r="F563" s="12" t="n"/>
    </row>
    <row r="564" ht="15.75" customHeight="1" s="33">
      <c r="D564" s="12" t="n"/>
      <c r="F564" s="12" t="n"/>
    </row>
    <row r="565" ht="15.75" customHeight="1" s="33">
      <c r="D565" s="12" t="n"/>
      <c r="F565" s="12" t="n"/>
    </row>
    <row r="566" ht="15.75" customHeight="1" s="33">
      <c r="D566" s="12" t="n"/>
      <c r="F566" s="12" t="n"/>
    </row>
    <row r="567" ht="15.75" customHeight="1" s="33">
      <c r="D567" s="12" t="n"/>
      <c r="F567" s="12" t="n"/>
    </row>
    <row r="568" ht="15.75" customHeight="1" s="33">
      <c r="D568" s="12" t="n"/>
      <c r="F568" s="12" t="n"/>
    </row>
    <row r="569" ht="15.75" customHeight="1" s="33">
      <c r="D569" s="12" t="n"/>
      <c r="F569" s="12" t="n"/>
    </row>
    <row r="570" ht="15.75" customHeight="1" s="33">
      <c r="D570" s="12" t="n"/>
      <c r="F570" s="12" t="n"/>
    </row>
    <row r="571" ht="15.75" customHeight="1" s="33">
      <c r="D571" s="12" t="n"/>
      <c r="F571" s="12" t="n"/>
    </row>
    <row r="572" ht="15.75" customHeight="1" s="33">
      <c r="D572" s="12" t="n"/>
      <c r="F572" s="12" t="n"/>
    </row>
    <row r="573" ht="15.75" customHeight="1" s="33">
      <c r="D573" s="12" t="n"/>
      <c r="F573" s="12" t="n"/>
    </row>
    <row r="574" ht="15.75" customHeight="1" s="33">
      <c r="D574" s="12" t="n"/>
      <c r="F574" s="12" t="n"/>
    </row>
    <row r="575" ht="15.75" customHeight="1" s="33">
      <c r="D575" s="12" t="n"/>
      <c r="F575" s="12" t="n"/>
    </row>
    <row r="576" ht="15.75" customHeight="1" s="33">
      <c r="D576" s="12" t="n"/>
      <c r="F576" s="12" t="n"/>
    </row>
    <row r="577" ht="15.75" customHeight="1" s="33">
      <c r="D577" s="12" t="n"/>
      <c r="F577" s="12" t="n"/>
    </row>
    <row r="578" ht="15.75" customHeight="1" s="33">
      <c r="D578" s="12" t="n"/>
      <c r="F578" s="12" t="n"/>
    </row>
    <row r="579" ht="15.75" customHeight="1" s="33">
      <c r="D579" s="12" t="n"/>
      <c r="F579" s="12" t="n"/>
    </row>
    <row r="580" ht="15.75" customHeight="1" s="33">
      <c r="D580" s="12" t="n"/>
      <c r="F580" s="12" t="n"/>
    </row>
    <row r="581" ht="15.75" customHeight="1" s="33">
      <c r="D581" s="12" t="n"/>
      <c r="F581" s="12" t="n"/>
    </row>
    <row r="582" ht="15.75" customHeight="1" s="33">
      <c r="D582" s="12" t="n"/>
      <c r="F582" s="12" t="n"/>
    </row>
    <row r="583" ht="15.75" customHeight="1" s="33">
      <c r="D583" s="12" t="n"/>
      <c r="F583" s="12" t="n"/>
    </row>
    <row r="584" ht="15.75" customHeight="1" s="33">
      <c r="D584" s="12" t="n"/>
      <c r="F584" s="12" t="n"/>
    </row>
    <row r="585" ht="15.75" customHeight="1" s="33">
      <c r="D585" s="12" t="n"/>
      <c r="F585" s="12" t="n"/>
    </row>
    <row r="586" ht="15.75" customHeight="1" s="33">
      <c r="D586" s="12" t="n"/>
      <c r="F586" s="12" t="n"/>
    </row>
    <row r="587" ht="15.75" customHeight="1" s="33">
      <c r="D587" s="12" t="n"/>
      <c r="F587" s="12" t="n"/>
    </row>
    <row r="588" ht="15.75" customHeight="1" s="33">
      <c r="D588" s="12" t="n"/>
      <c r="F588" s="12" t="n"/>
    </row>
    <row r="589" ht="15.75" customHeight="1" s="33">
      <c r="D589" s="12" t="n"/>
      <c r="F589" s="12" t="n"/>
    </row>
    <row r="590" ht="15.75" customHeight="1" s="33">
      <c r="D590" s="12" t="n"/>
      <c r="F590" s="12" t="n"/>
    </row>
    <row r="591" ht="15.75" customHeight="1" s="33">
      <c r="D591" s="12" t="n"/>
      <c r="F591" s="12" t="n"/>
    </row>
    <row r="592" ht="15.75" customHeight="1" s="33">
      <c r="D592" s="12" t="n"/>
      <c r="F592" s="12" t="n"/>
    </row>
    <row r="593" ht="15.75" customHeight="1" s="33">
      <c r="D593" s="12" t="n"/>
      <c r="F593" s="12" t="n"/>
    </row>
    <row r="594" ht="15.75" customHeight="1" s="33">
      <c r="D594" s="12" t="n"/>
      <c r="F594" s="12" t="n"/>
    </row>
    <row r="595" ht="15.75" customHeight="1" s="33">
      <c r="D595" s="12" t="n"/>
      <c r="F595" s="12" t="n"/>
    </row>
    <row r="596" ht="15.75" customHeight="1" s="33">
      <c r="D596" s="12" t="n"/>
      <c r="F596" s="12" t="n"/>
    </row>
    <row r="597" ht="15.75" customHeight="1" s="33">
      <c r="D597" s="12" t="n"/>
      <c r="F597" s="12" t="n"/>
    </row>
    <row r="598" ht="15.75" customHeight="1" s="33">
      <c r="D598" s="12" t="n"/>
      <c r="F598" s="12" t="n"/>
    </row>
    <row r="599" ht="15.75" customHeight="1" s="33">
      <c r="D599" s="12" t="n"/>
      <c r="F599" s="12" t="n"/>
    </row>
    <row r="600" ht="15.75" customHeight="1" s="33">
      <c r="D600" s="12" t="n"/>
      <c r="F600" s="12" t="n"/>
    </row>
    <row r="601" ht="15.75" customHeight="1" s="33">
      <c r="D601" s="12" t="n"/>
      <c r="F601" s="12" t="n"/>
    </row>
    <row r="602" ht="15.75" customHeight="1" s="33">
      <c r="D602" s="12" t="n"/>
      <c r="F602" s="12" t="n"/>
    </row>
    <row r="603" ht="15.75" customHeight="1" s="33">
      <c r="D603" s="12" t="n"/>
      <c r="F603" s="12" t="n"/>
    </row>
    <row r="604" ht="15.75" customHeight="1" s="33">
      <c r="D604" s="12" t="n"/>
      <c r="F604" s="12" t="n"/>
    </row>
    <row r="605" ht="15.75" customHeight="1" s="33">
      <c r="D605" s="12" t="n"/>
      <c r="F605" s="12" t="n"/>
    </row>
    <row r="606" ht="15.75" customHeight="1" s="33">
      <c r="D606" s="12" t="n"/>
      <c r="F606" s="12" t="n"/>
    </row>
    <row r="607" ht="15.75" customHeight="1" s="33">
      <c r="D607" s="12" t="n"/>
      <c r="F607" s="12" t="n"/>
    </row>
    <row r="608" ht="15.75" customHeight="1" s="33">
      <c r="D608" s="12" t="n"/>
      <c r="F608" s="12" t="n"/>
    </row>
    <row r="609" ht="15.75" customHeight="1" s="33">
      <c r="D609" s="12" t="n"/>
      <c r="F609" s="12" t="n"/>
    </row>
    <row r="610" ht="15.75" customHeight="1" s="33">
      <c r="D610" s="12" t="n"/>
      <c r="F610" s="12" t="n"/>
    </row>
    <row r="611" ht="15.75" customHeight="1" s="33">
      <c r="D611" s="12" t="n"/>
      <c r="F611" s="12" t="n"/>
    </row>
    <row r="612" ht="15.75" customHeight="1" s="33">
      <c r="D612" s="12" t="n"/>
      <c r="F612" s="12" t="n"/>
    </row>
    <row r="613" ht="15.75" customHeight="1" s="33">
      <c r="D613" s="12" t="n"/>
      <c r="F613" s="12" t="n"/>
    </row>
    <row r="614" ht="15.75" customHeight="1" s="33">
      <c r="D614" s="12" t="n"/>
      <c r="F614" s="12" t="n"/>
    </row>
    <row r="615" ht="15.75" customHeight="1" s="33">
      <c r="D615" s="12" t="n"/>
      <c r="F615" s="12" t="n"/>
    </row>
    <row r="616" ht="15.75" customHeight="1" s="33">
      <c r="D616" s="12" t="n"/>
      <c r="F616" s="12" t="n"/>
    </row>
    <row r="617" ht="15.75" customHeight="1" s="33">
      <c r="D617" s="12" t="n"/>
      <c r="F617" s="12" t="n"/>
    </row>
    <row r="618" ht="15.75" customHeight="1" s="33">
      <c r="D618" s="12" t="n"/>
      <c r="F618" s="12" t="n"/>
    </row>
    <row r="619" ht="15.75" customHeight="1" s="33">
      <c r="D619" s="12" t="n"/>
      <c r="F619" s="12" t="n"/>
    </row>
    <row r="620" ht="15.75" customHeight="1" s="33">
      <c r="D620" s="12" t="n"/>
      <c r="F620" s="12" t="n"/>
    </row>
    <row r="621" ht="15.75" customHeight="1" s="33">
      <c r="D621" s="12" t="n"/>
      <c r="F621" s="12" t="n"/>
    </row>
    <row r="622" ht="15.75" customHeight="1" s="33">
      <c r="D622" s="12" t="n"/>
      <c r="F622" s="12" t="n"/>
    </row>
    <row r="623" ht="15.75" customHeight="1" s="33">
      <c r="D623" s="12" t="n"/>
      <c r="F623" s="12" t="n"/>
    </row>
    <row r="624" ht="15.75" customHeight="1" s="33">
      <c r="D624" s="12" t="n"/>
      <c r="F624" s="12" t="n"/>
    </row>
    <row r="625" ht="15.75" customHeight="1" s="33">
      <c r="D625" s="12" t="n"/>
      <c r="F625" s="12" t="n"/>
    </row>
    <row r="626" ht="15.75" customHeight="1" s="33">
      <c r="D626" s="12" t="n"/>
      <c r="F626" s="12" t="n"/>
    </row>
    <row r="627" ht="15.75" customHeight="1" s="33">
      <c r="D627" s="12" t="n"/>
      <c r="F627" s="12" t="n"/>
    </row>
    <row r="628" ht="15.75" customHeight="1" s="33">
      <c r="D628" s="12" t="n"/>
      <c r="F628" s="12" t="n"/>
    </row>
    <row r="629" ht="15.75" customHeight="1" s="33">
      <c r="D629" s="12" t="n"/>
      <c r="F629" s="12" t="n"/>
    </row>
    <row r="630" ht="15.75" customHeight="1" s="33">
      <c r="D630" s="12" t="n"/>
      <c r="F630" s="12" t="n"/>
    </row>
    <row r="631" ht="15.75" customHeight="1" s="33">
      <c r="D631" s="12" t="n"/>
      <c r="F631" s="12" t="n"/>
    </row>
    <row r="632" ht="15.75" customHeight="1" s="33">
      <c r="D632" s="12" t="n"/>
      <c r="F632" s="12" t="n"/>
    </row>
    <row r="633" ht="15.75" customHeight="1" s="33">
      <c r="D633" s="12" t="n"/>
      <c r="F633" s="12" t="n"/>
    </row>
    <row r="634" ht="15.75" customHeight="1" s="33">
      <c r="D634" s="12" t="n"/>
      <c r="F634" s="12" t="n"/>
    </row>
    <row r="635" ht="15.75" customHeight="1" s="33">
      <c r="D635" s="12" t="n"/>
      <c r="F635" s="12" t="n"/>
    </row>
    <row r="636" ht="15.75" customHeight="1" s="33">
      <c r="D636" s="12" t="n"/>
      <c r="F636" s="12" t="n"/>
    </row>
    <row r="637" ht="15.75" customHeight="1" s="33">
      <c r="D637" s="12" t="n"/>
      <c r="F637" s="12" t="n"/>
    </row>
    <row r="638" ht="15.75" customHeight="1" s="33">
      <c r="D638" s="12" t="n"/>
      <c r="F638" s="12" t="n"/>
    </row>
    <row r="639" ht="15.75" customHeight="1" s="33">
      <c r="D639" s="12" t="n"/>
      <c r="F639" s="12" t="n"/>
    </row>
    <row r="640" ht="15.75" customHeight="1" s="33">
      <c r="D640" s="12" t="n"/>
      <c r="F640" s="12" t="n"/>
    </row>
    <row r="641" ht="15.75" customHeight="1" s="33">
      <c r="D641" s="12" t="n"/>
      <c r="F641" s="12" t="n"/>
    </row>
    <row r="642" ht="15.75" customHeight="1" s="33">
      <c r="D642" s="12" t="n"/>
      <c r="F642" s="12" t="n"/>
    </row>
    <row r="643" ht="15.75" customHeight="1" s="33">
      <c r="D643" s="12" t="n"/>
      <c r="F643" s="12" t="n"/>
    </row>
    <row r="644" ht="15.75" customHeight="1" s="33">
      <c r="D644" s="12" t="n"/>
      <c r="F644" s="12" t="n"/>
    </row>
    <row r="645" ht="15.75" customHeight="1" s="33">
      <c r="D645" s="12" t="n"/>
      <c r="F645" s="12" t="n"/>
    </row>
    <row r="646" ht="15.75" customHeight="1" s="33">
      <c r="D646" s="12" t="n"/>
      <c r="F646" s="12" t="n"/>
    </row>
    <row r="647" ht="15.75" customHeight="1" s="33">
      <c r="D647" s="12" t="n"/>
      <c r="F647" s="12" t="n"/>
    </row>
    <row r="648" ht="15.75" customHeight="1" s="33">
      <c r="D648" s="12" t="n"/>
      <c r="F648" s="12" t="n"/>
    </row>
    <row r="649" ht="15.75" customHeight="1" s="33">
      <c r="D649" s="12" t="n"/>
      <c r="F649" s="12" t="n"/>
    </row>
    <row r="650" ht="15.75" customHeight="1" s="33">
      <c r="D650" s="12" t="n"/>
      <c r="F650" s="12" t="n"/>
    </row>
    <row r="651" ht="15.75" customHeight="1" s="33">
      <c r="D651" s="12" t="n"/>
      <c r="F651" s="12" t="n"/>
    </row>
    <row r="652" ht="15.75" customHeight="1" s="33">
      <c r="D652" s="12" t="n"/>
      <c r="F652" s="12" t="n"/>
    </row>
    <row r="653" ht="15.75" customHeight="1" s="33">
      <c r="D653" s="12" t="n"/>
      <c r="F653" s="12" t="n"/>
    </row>
    <row r="654" ht="15.75" customHeight="1" s="33">
      <c r="D654" s="12" t="n"/>
      <c r="F654" s="12" t="n"/>
    </row>
    <row r="655" ht="15.75" customHeight="1" s="33">
      <c r="D655" s="12" t="n"/>
      <c r="F655" s="12" t="n"/>
    </row>
    <row r="656" ht="15.75" customHeight="1" s="33">
      <c r="D656" s="12" t="n"/>
      <c r="F656" s="12" t="n"/>
    </row>
    <row r="657" ht="15.75" customHeight="1" s="33">
      <c r="D657" s="12" t="n"/>
      <c r="F657" s="12" t="n"/>
    </row>
    <row r="658" ht="15.75" customHeight="1" s="33">
      <c r="D658" s="12" t="n"/>
      <c r="F658" s="12" t="n"/>
    </row>
    <row r="659" ht="15.75" customHeight="1" s="33">
      <c r="D659" s="12" t="n"/>
      <c r="F659" s="12" t="n"/>
    </row>
    <row r="660" ht="15.75" customHeight="1" s="33">
      <c r="D660" s="12" t="n"/>
      <c r="F660" s="12" t="n"/>
    </row>
    <row r="661" ht="15.75" customHeight="1" s="33">
      <c r="D661" s="12" t="n"/>
      <c r="F661" s="12" t="n"/>
    </row>
    <row r="662" ht="15.75" customHeight="1" s="33">
      <c r="D662" s="12" t="n"/>
      <c r="F662" s="12" t="n"/>
    </row>
    <row r="663" ht="15.75" customHeight="1" s="33">
      <c r="D663" s="12" t="n"/>
      <c r="F663" s="12" t="n"/>
    </row>
    <row r="664" ht="15.75" customHeight="1" s="33">
      <c r="D664" s="12" t="n"/>
      <c r="F664" s="12" t="n"/>
    </row>
    <row r="665" ht="15.75" customHeight="1" s="33">
      <c r="D665" s="12" t="n"/>
      <c r="F665" s="12" t="n"/>
    </row>
    <row r="666" ht="15.75" customHeight="1" s="33">
      <c r="D666" s="12" t="n"/>
      <c r="F666" s="12" t="n"/>
    </row>
    <row r="667" ht="15.75" customHeight="1" s="33">
      <c r="D667" s="12" t="n"/>
      <c r="F667" s="12" t="n"/>
    </row>
    <row r="668" ht="15.75" customHeight="1" s="33">
      <c r="D668" s="12" t="n"/>
      <c r="F668" s="12" t="n"/>
    </row>
    <row r="669" ht="15.75" customHeight="1" s="33">
      <c r="D669" s="12" t="n"/>
      <c r="F669" s="12" t="n"/>
    </row>
    <row r="670" ht="15.75" customHeight="1" s="33">
      <c r="D670" s="12" t="n"/>
      <c r="F670" s="12" t="n"/>
    </row>
    <row r="671" ht="15.75" customHeight="1" s="33">
      <c r="D671" s="12" t="n"/>
      <c r="F671" s="12" t="n"/>
    </row>
    <row r="672" ht="15.75" customHeight="1" s="33">
      <c r="D672" s="12" t="n"/>
      <c r="F672" s="12" t="n"/>
    </row>
    <row r="673" ht="15.75" customHeight="1" s="33">
      <c r="D673" s="12" t="n"/>
      <c r="F673" s="12" t="n"/>
    </row>
    <row r="674" ht="15.75" customHeight="1" s="33">
      <c r="D674" s="12" t="n"/>
      <c r="F674" s="12" t="n"/>
    </row>
    <row r="675" ht="15.75" customHeight="1" s="33">
      <c r="D675" s="12" t="n"/>
      <c r="F675" s="12" t="n"/>
    </row>
    <row r="676" ht="15.75" customHeight="1" s="33">
      <c r="D676" s="12" t="n"/>
      <c r="F676" s="12" t="n"/>
    </row>
    <row r="677" ht="15.75" customHeight="1" s="33">
      <c r="D677" s="12" t="n"/>
      <c r="F677" s="12" t="n"/>
    </row>
    <row r="678" ht="15.75" customHeight="1" s="33">
      <c r="D678" s="12" t="n"/>
      <c r="F678" s="12" t="n"/>
    </row>
    <row r="679" ht="15.75" customHeight="1" s="33">
      <c r="D679" s="12" t="n"/>
      <c r="F679" s="12" t="n"/>
    </row>
    <row r="680" ht="15.75" customHeight="1" s="33">
      <c r="D680" s="12" t="n"/>
      <c r="F680" s="12" t="n"/>
    </row>
    <row r="681" ht="15.75" customHeight="1" s="33">
      <c r="D681" s="12" t="n"/>
      <c r="F681" s="12" t="n"/>
    </row>
    <row r="682" ht="15.75" customHeight="1" s="33">
      <c r="D682" s="12" t="n"/>
      <c r="F682" s="12" t="n"/>
    </row>
    <row r="683" ht="15.75" customHeight="1" s="33">
      <c r="D683" s="12" t="n"/>
      <c r="F683" s="12" t="n"/>
    </row>
    <row r="684" ht="15.75" customHeight="1" s="33">
      <c r="D684" s="12" t="n"/>
      <c r="F684" s="12" t="n"/>
    </row>
    <row r="685" ht="15.75" customHeight="1" s="33">
      <c r="D685" s="12" t="n"/>
      <c r="F685" s="12" t="n"/>
    </row>
    <row r="686" ht="15.75" customHeight="1" s="33">
      <c r="D686" s="12" t="n"/>
      <c r="F686" s="12" t="n"/>
    </row>
    <row r="687" ht="15.75" customHeight="1" s="33">
      <c r="D687" s="12" t="n"/>
      <c r="F687" s="12" t="n"/>
    </row>
    <row r="688" ht="15.75" customHeight="1" s="33">
      <c r="D688" s="12" t="n"/>
      <c r="F688" s="12" t="n"/>
    </row>
    <row r="689" ht="15.75" customHeight="1" s="33">
      <c r="D689" s="12" t="n"/>
      <c r="F689" s="12" t="n"/>
    </row>
    <row r="690" ht="15.75" customHeight="1" s="33">
      <c r="D690" s="12" t="n"/>
      <c r="F690" s="12" t="n"/>
    </row>
    <row r="691" ht="15.75" customHeight="1" s="33">
      <c r="D691" s="12" t="n"/>
      <c r="F691" s="12" t="n"/>
    </row>
    <row r="692" ht="15.75" customHeight="1" s="33">
      <c r="D692" s="12" t="n"/>
      <c r="F692" s="12" t="n"/>
    </row>
    <row r="693" ht="15.75" customHeight="1" s="33">
      <c r="D693" s="12" t="n"/>
      <c r="F693" s="12" t="n"/>
    </row>
    <row r="694" ht="15.75" customHeight="1" s="33">
      <c r="D694" s="12" t="n"/>
      <c r="F694" s="12" t="n"/>
    </row>
    <row r="695" ht="15.75" customHeight="1" s="33">
      <c r="D695" s="12" t="n"/>
      <c r="F695" s="12" t="n"/>
    </row>
    <row r="696" ht="15.75" customHeight="1" s="33">
      <c r="D696" s="12" t="n"/>
      <c r="F696" s="12" t="n"/>
    </row>
    <row r="697" ht="15.75" customHeight="1" s="33">
      <c r="D697" s="12" t="n"/>
      <c r="F697" s="12" t="n"/>
    </row>
    <row r="698" ht="15.75" customHeight="1" s="33">
      <c r="D698" s="12" t="n"/>
      <c r="F698" s="12" t="n"/>
    </row>
    <row r="699" ht="15.75" customHeight="1" s="33">
      <c r="D699" s="12" t="n"/>
      <c r="F699" s="12" t="n"/>
    </row>
    <row r="700" ht="15.75" customHeight="1" s="33">
      <c r="D700" s="12" t="n"/>
      <c r="F700" s="12" t="n"/>
    </row>
    <row r="701" ht="15.75" customHeight="1" s="33">
      <c r="D701" s="12" t="n"/>
      <c r="F701" s="12" t="n"/>
    </row>
    <row r="702" ht="15.75" customHeight="1" s="33">
      <c r="D702" s="12" t="n"/>
      <c r="F702" s="12" t="n"/>
    </row>
    <row r="703" ht="15.75" customHeight="1" s="33">
      <c r="D703" s="12" t="n"/>
      <c r="F703" s="12" t="n"/>
    </row>
    <row r="704" ht="15.75" customHeight="1" s="33">
      <c r="D704" s="12" t="n"/>
      <c r="F704" s="12" t="n"/>
    </row>
    <row r="705" ht="15.75" customHeight="1" s="33">
      <c r="D705" s="12" t="n"/>
      <c r="F705" s="12" t="n"/>
    </row>
    <row r="706" ht="15.75" customHeight="1" s="33">
      <c r="D706" s="12" t="n"/>
      <c r="F706" s="12" t="n"/>
    </row>
    <row r="707" ht="15.75" customHeight="1" s="33">
      <c r="D707" s="12" t="n"/>
      <c r="F707" s="12" t="n"/>
    </row>
    <row r="708" ht="15.75" customHeight="1" s="33">
      <c r="D708" s="12" t="n"/>
      <c r="F708" s="12" t="n"/>
    </row>
    <row r="709" ht="15.75" customHeight="1" s="33">
      <c r="D709" s="12" t="n"/>
      <c r="F709" s="12" t="n"/>
    </row>
    <row r="710" ht="15.75" customHeight="1" s="33">
      <c r="D710" s="12" t="n"/>
      <c r="F710" s="12" t="n"/>
    </row>
    <row r="711" ht="15.75" customHeight="1" s="33">
      <c r="D711" s="12" t="n"/>
      <c r="F711" s="12" t="n"/>
    </row>
    <row r="712" ht="15.75" customHeight="1" s="33">
      <c r="D712" s="12" t="n"/>
      <c r="F712" s="12" t="n"/>
    </row>
    <row r="713" ht="15.75" customHeight="1" s="33">
      <c r="D713" s="12" t="n"/>
      <c r="F713" s="12" t="n"/>
    </row>
    <row r="714" ht="15.75" customHeight="1" s="33">
      <c r="D714" s="12" t="n"/>
      <c r="F714" s="12" t="n"/>
    </row>
    <row r="715" ht="15.75" customHeight="1" s="33">
      <c r="D715" s="12" t="n"/>
      <c r="F715" s="12" t="n"/>
    </row>
    <row r="716" ht="15.75" customHeight="1" s="33">
      <c r="D716" s="12" t="n"/>
      <c r="F716" s="12" t="n"/>
    </row>
    <row r="717" ht="15.75" customHeight="1" s="33">
      <c r="D717" s="12" t="n"/>
      <c r="F717" s="12" t="n"/>
    </row>
    <row r="718" ht="15.75" customHeight="1" s="33">
      <c r="D718" s="12" t="n"/>
      <c r="F718" s="12" t="n"/>
    </row>
    <row r="719" ht="15.75" customHeight="1" s="33">
      <c r="D719" s="12" t="n"/>
      <c r="F719" s="12" t="n"/>
    </row>
    <row r="720" ht="15.75" customHeight="1" s="33">
      <c r="D720" s="12" t="n"/>
      <c r="F720" s="12" t="n"/>
    </row>
    <row r="721" ht="15.75" customHeight="1" s="33">
      <c r="D721" s="12" t="n"/>
      <c r="F721" s="12" t="n"/>
    </row>
    <row r="722" ht="15.75" customHeight="1" s="33">
      <c r="D722" s="12" t="n"/>
      <c r="F722" s="12" t="n"/>
    </row>
    <row r="723" ht="15.75" customHeight="1" s="33">
      <c r="D723" s="12" t="n"/>
      <c r="F723" s="12" t="n"/>
    </row>
    <row r="724" ht="15.75" customHeight="1" s="33">
      <c r="D724" s="12" t="n"/>
      <c r="F724" s="12" t="n"/>
    </row>
    <row r="725" ht="15.75" customHeight="1" s="33">
      <c r="D725" s="12" t="n"/>
      <c r="F725" s="12" t="n"/>
    </row>
    <row r="726" ht="15.75" customHeight="1" s="33">
      <c r="D726" s="12" t="n"/>
      <c r="F726" s="12" t="n"/>
    </row>
    <row r="727" ht="15.75" customHeight="1" s="33">
      <c r="D727" s="12" t="n"/>
      <c r="F727" s="12" t="n"/>
    </row>
    <row r="728" ht="15.75" customHeight="1" s="33">
      <c r="D728" s="12" t="n"/>
      <c r="F728" s="12" t="n"/>
    </row>
    <row r="729" ht="15.75" customHeight="1" s="33">
      <c r="D729" s="12" t="n"/>
      <c r="F729" s="12" t="n"/>
    </row>
    <row r="730" ht="15.75" customHeight="1" s="33">
      <c r="D730" s="12" t="n"/>
      <c r="F730" s="12" t="n"/>
    </row>
    <row r="731" ht="15.75" customHeight="1" s="33">
      <c r="D731" s="12" t="n"/>
      <c r="F731" s="12" t="n"/>
    </row>
    <row r="732" ht="15.75" customHeight="1" s="33">
      <c r="D732" s="12" t="n"/>
      <c r="F732" s="12" t="n"/>
    </row>
    <row r="733" ht="15.75" customHeight="1" s="33">
      <c r="D733" s="12" t="n"/>
      <c r="F733" s="12" t="n"/>
    </row>
    <row r="734" ht="15.75" customHeight="1" s="33">
      <c r="D734" s="12" t="n"/>
      <c r="F734" s="12" t="n"/>
    </row>
    <row r="735" ht="15.75" customHeight="1" s="33">
      <c r="D735" s="12" t="n"/>
      <c r="F735" s="12" t="n"/>
    </row>
    <row r="736" ht="15.75" customHeight="1" s="33">
      <c r="D736" s="12" t="n"/>
      <c r="F736" s="12" t="n"/>
    </row>
    <row r="737" ht="15.75" customHeight="1" s="33">
      <c r="D737" s="12" t="n"/>
      <c r="F737" s="12" t="n"/>
    </row>
    <row r="738" ht="15.75" customHeight="1" s="33">
      <c r="D738" s="12" t="n"/>
      <c r="F738" s="12" t="n"/>
    </row>
    <row r="739" ht="15.75" customHeight="1" s="33">
      <c r="D739" s="12" t="n"/>
      <c r="F739" s="12" t="n"/>
    </row>
    <row r="740" ht="15.75" customHeight="1" s="33">
      <c r="D740" s="12" t="n"/>
      <c r="F740" s="12" t="n"/>
    </row>
    <row r="741" ht="15.75" customHeight="1" s="33">
      <c r="D741" s="12" t="n"/>
      <c r="F741" s="12" t="n"/>
    </row>
    <row r="742" ht="15.75" customHeight="1" s="33">
      <c r="D742" s="12" t="n"/>
      <c r="F742" s="12" t="n"/>
    </row>
    <row r="743" ht="15.75" customHeight="1" s="33">
      <c r="D743" s="12" t="n"/>
      <c r="F743" s="12" t="n"/>
    </row>
    <row r="744" ht="15.75" customHeight="1" s="33">
      <c r="D744" s="12" t="n"/>
      <c r="F744" s="12" t="n"/>
    </row>
    <row r="745" ht="15.75" customHeight="1" s="33">
      <c r="D745" s="12" t="n"/>
      <c r="F745" s="12" t="n"/>
    </row>
    <row r="746" ht="15.75" customHeight="1" s="33">
      <c r="D746" s="12" t="n"/>
      <c r="F746" s="12" t="n"/>
    </row>
    <row r="747" ht="15.75" customHeight="1" s="33">
      <c r="D747" s="12" t="n"/>
      <c r="F747" s="12" t="n"/>
    </row>
    <row r="748" ht="15.75" customHeight="1" s="33">
      <c r="D748" s="12" t="n"/>
      <c r="F748" s="12" t="n"/>
    </row>
    <row r="749" ht="15.75" customHeight="1" s="33">
      <c r="D749" s="12" t="n"/>
      <c r="F749" s="12" t="n"/>
    </row>
    <row r="750" ht="15.75" customHeight="1" s="33">
      <c r="D750" s="12" t="n"/>
      <c r="F750" s="12" t="n"/>
    </row>
    <row r="751" ht="15.75" customHeight="1" s="33">
      <c r="D751" s="12" t="n"/>
      <c r="F751" s="12" t="n"/>
    </row>
    <row r="752" ht="15.75" customHeight="1" s="33">
      <c r="D752" s="12" t="n"/>
      <c r="F752" s="12" t="n"/>
    </row>
    <row r="753" ht="15.75" customHeight="1" s="33">
      <c r="D753" s="12" t="n"/>
      <c r="F753" s="12" t="n"/>
    </row>
    <row r="754" ht="15.75" customHeight="1" s="33">
      <c r="D754" s="12" t="n"/>
      <c r="F754" s="12" t="n"/>
    </row>
    <row r="755" ht="15.75" customHeight="1" s="33">
      <c r="D755" s="12" t="n"/>
      <c r="F755" s="12" t="n"/>
    </row>
    <row r="756" ht="15.75" customHeight="1" s="33">
      <c r="D756" s="12" t="n"/>
      <c r="F756" s="12" t="n"/>
    </row>
    <row r="757" ht="15.75" customHeight="1" s="33">
      <c r="D757" s="12" t="n"/>
      <c r="F757" s="12" t="n"/>
    </row>
    <row r="758" ht="15.75" customHeight="1" s="33">
      <c r="D758" s="12" t="n"/>
      <c r="F758" s="12" t="n"/>
    </row>
    <row r="759" ht="15.75" customHeight="1" s="33">
      <c r="D759" s="12" t="n"/>
      <c r="F759" s="12" t="n"/>
    </row>
    <row r="760" ht="15.75" customHeight="1" s="33">
      <c r="D760" s="12" t="n"/>
      <c r="F760" s="12" t="n"/>
    </row>
    <row r="761" ht="15.75" customHeight="1" s="33">
      <c r="D761" s="12" t="n"/>
      <c r="F761" s="12" t="n"/>
    </row>
    <row r="762" ht="15.75" customHeight="1" s="33">
      <c r="D762" s="12" t="n"/>
      <c r="F762" s="12" t="n"/>
    </row>
    <row r="763" ht="15.75" customHeight="1" s="33">
      <c r="D763" s="12" t="n"/>
      <c r="F763" s="12" t="n"/>
    </row>
    <row r="764" ht="15.75" customHeight="1" s="33">
      <c r="D764" s="12" t="n"/>
      <c r="F764" s="12" t="n"/>
    </row>
    <row r="765" ht="15.75" customHeight="1" s="33">
      <c r="D765" s="12" t="n"/>
      <c r="F765" s="12" t="n"/>
    </row>
    <row r="766" ht="15.75" customHeight="1" s="33">
      <c r="D766" s="12" t="n"/>
      <c r="F766" s="12" t="n"/>
    </row>
    <row r="767" ht="15.75" customHeight="1" s="33">
      <c r="D767" s="12" t="n"/>
      <c r="F767" s="12" t="n"/>
    </row>
    <row r="768" ht="15.75" customHeight="1" s="33">
      <c r="D768" s="12" t="n"/>
      <c r="F768" s="12" t="n"/>
    </row>
    <row r="769" ht="15.75" customHeight="1" s="33">
      <c r="D769" s="12" t="n"/>
      <c r="F769" s="12" t="n"/>
    </row>
    <row r="770" ht="15.75" customHeight="1" s="33">
      <c r="D770" s="12" t="n"/>
      <c r="F770" s="12" t="n"/>
    </row>
    <row r="771" ht="15.75" customHeight="1" s="33">
      <c r="D771" s="12" t="n"/>
      <c r="F771" s="12" t="n"/>
    </row>
    <row r="772" ht="15.75" customHeight="1" s="33">
      <c r="D772" s="12" t="n"/>
      <c r="F772" s="12" t="n"/>
    </row>
    <row r="773" ht="15.75" customHeight="1" s="33">
      <c r="D773" s="12" t="n"/>
      <c r="F773" s="12" t="n"/>
    </row>
    <row r="774" ht="15.75" customHeight="1" s="33">
      <c r="D774" s="12" t="n"/>
      <c r="F774" s="12" t="n"/>
    </row>
    <row r="775" ht="15.75" customHeight="1" s="33">
      <c r="D775" s="12" t="n"/>
      <c r="F775" s="12" t="n"/>
    </row>
    <row r="776" ht="15.75" customHeight="1" s="33">
      <c r="D776" s="12" t="n"/>
      <c r="F776" s="12" t="n"/>
    </row>
    <row r="777" ht="15.75" customHeight="1" s="33">
      <c r="D777" s="12" t="n"/>
      <c r="F777" s="12" t="n"/>
    </row>
    <row r="778" ht="15.75" customHeight="1" s="33">
      <c r="D778" s="12" t="n"/>
      <c r="F778" s="12" t="n"/>
    </row>
    <row r="779" ht="15.75" customHeight="1" s="33">
      <c r="D779" s="12" t="n"/>
      <c r="F779" s="12" t="n"/>
    </row>
    <row r="780" ht="15.75" customHeight="1" s="33">
      <c r="D780" s="12" t="n"/>
      <c r="F780" s="12" t="n"/>
    </row>
    <row r="781" ht="15.75" customHeight="1" s="33">
      <c r="D781" s="12" t="n"/>
      <c r="F781" s="12" t="n"/>
    </row>
    <row r="782" ht="15.75" customHeight="1" s="33">
      <c r="D782" s="12" t="n"/>
      <c r="F782" s="12" t="n"/>
    </row>
    <row r="783" ht="15.75" customHeight="1" s="33">
      <c r="D783" s="12" t="n"/>
      <c r="F783" s="12" t="n"/>
    </row>
    <row r="784" ht="15.75" customHeight="1" s="33">
      <c r="D784" s="12" t="n"/>
      <c r="F784" s="12" t="n"/>
    </row>
    <row r="785" ht="15.75" customHeight="1" s="33">
      <c r="D785" s="12" t="n"/>
      <c r="F785" s="12" t="n"/>
    </row>
    <row r="786" ht="15.75" customHeight="1" s="33">
      <c r="D786" s="12" t="n"/>
      <c r="F786" s="12" t="n"/>
    </row>
    <row r="787" ht="15.75" customHeight="1" s="33">
      <c r="D787" s="12" t="n"/>
      <c r="F787" s="12" t="n"/>
    </row>
    <row r="788" ht="15.75" customHeight="1" s="33">
      <c r="D788" s="12" t="n"/>
      <c r="F788" s="12" t="n"/>
    </row>
    <row r="789" ht="15.75" customHeight="1" s="33">
      <c r="D789" s="12" t="n"/>
      <c r="F789" s="12" t="n"/>
    </row>
    <row r="790" ht="15.75" customHeight="1" s="33">
      <c r="D790" s="12" t="n"/>
      <c r="F790" s="12" t="n"/>
    </row>
    <row r="791" ht="15.75" customHeight="1" s="33">
      <c r="D791" s="12" t="n"/>
      <c r="F791" s="12" t="n"/>
    </row>
    <row r="792" ht="15.75" customHeight="1" s="33">
      <c r="D792" s="12" t="n"/>
      <c r="F792" s="12" t="n"/>
    </row>
    <row r="793" ht="15.75" customHeight="1" s="33">
      <c r="D793" s="12" t="n"/>
      <c r="F793" s="12" t="n"/>
    </row>
    <row r="794" ht="15.75" customHeight="1" s="33">
      <c r="D794" s="12" t="n"/>
      <c r="F794" s="12" t="n"/>
    </row>
    <row r="795" ht="15.75" customHeight="1" s="33">
      <c r="D795" s="12" t="n"/>
      <c r="F795" s="12" t="n"/>
    </row>
    <row r="796" ht="15.75" customHeight="1" s="33">
      <c r="D796" s="12" t="n"/>
      <c r="F796" s="12" t="n"/>
    </row>
    <row r="797" ht="15.75" customHeight="1" s="33">
      <c r="D797" s="12" t="n"/>
      <c r="F797" s="12" t="n"/>
    </row>
    <row r="798" ht="15.75" customHeight="1" s="33">
      <c r="D798" s="12" t="n"/>
      <c r="F798" s="12" t="n"/>
    </row>
    <row r="799" ht="15.75" customHeight="1" s="33">
      <c r="D799" s="12" t="n"/>
      <c r="F799" s="12" t="n"/>
    </row>
    <row r="800" ht="15.75" customHeight="1" s="33">
      <c r="D800" s="12" t="n"/>
      <c r="F800" s="12" t="n"/>
    </row>
    <row r="801" ht="15.75" customHeight="1" s="33">
      <c r="D801" s="12" t="n"/>
      <c r="F801" s="12" t="n"/>
    </row>
    <row r="802" ht="15.75" customHeight="1" s="33">
      <c r="D802" s="12" t="n"/>
      <c r="F802" s="12" t="n"/>
    </row>
    <row r="803" ht="15.75" customHeight="1" s="33">
      <c r="D803" s="12" t="n"/>
      <c r="F803" s="12" t="n"/>
    </row>
    <row r="804" ht="15.75" customHeight="1" s="33">
      <c r="D804" s="12" t="n"/>
      <c r="F804" s="12" t="n"/>
    </row>
    <row r="805" ht="15.75" customHeight="1" s="33">
      <c r="D805" s="12" t="n"/>
      <c r="F805" s="12" t="n"/>
    </row>
    <row r="806" ht="15.75" customHeight="1" s="33">
      <c r="D806" s="12" t="n"/>
      <c r="F806" s="12" t="n"/>
    </row>
    <row r="807" ht="15.75" customHeight="1" s="33">
      <c r="D807" s="12" t="n"/>
      <c r="F807" s="12" t="n"/>
    </row>
    <row r="808" ht="15.75" customHeight="1" s="33">
      <c r="D808" s="12" t="n"/>
      <c r="F808" s="12" t="n"/>
    </row>
    <row r="809" ht="15.75" customHeight="1" s="33">
      <c r="D809" s="12" t="n"/>
      <c r="F809" s="12" t="n"/>
    </row>
    <row r="810" ht="15.75" customHeight="1" s="33">
      <c r="D810" s="12" t="n"/>
      <c r="F810" s="12" t="n"/>
    </row>
    <row r="811" ht="15.75" customHeight="1" s="33">
      <c r="D811" s="12" t="n"/>
      <c r="F811" s="12" t="n"/>
    </row>
    <row r="812" ht="15.75" customHeight="1" s="33">
      <c r="D812" s="12" t="n"/>
      <c r="F812" s="12" t="n"/>
    </row>
    <row r="813" ht="15.75" customHeight="1" s="33">
      <c r="D813" s="12" t="n"/>
      <c r="F813" s="12" t="n"/>
    </row>
    <row r="814" ht="15.75" customHeight="1" s="33">
      <c r="D814" s="12" t="n"/>
      <c r="F814" s="12" t="n"/>
    </row>
    <row r="815" ht="15.75" customHeight="1" s="33">
      <c r="D815" s="12" t="n"/>
      <c r="F815" s="12" t="n"/>
    </row>
    <row r="816" ht="15.75" customHeight="1" s="33">
      <c r="D816" s="12" t="n"/>
      <c r="F816" s="12" t="n"/>
    </row>
    <row r="817" ht="15.75" customHeight="1" s="33">
      <c r="D817" s="12" t="n"/>
      <c r="F817" s="12" t="n"/>
    </row>
    <row r="818" ht="15.75" customHeight="1" s="33">
      <c r="D818" s="12" t="n"/>
      <c r="F818" s="12" t="n"/>
    </row>
    <row r="819" ht="15.75" customHeight="1" s="33">
      <c r="D819" s="12" t="n"/>
      <c r="F819" s="12" t="n"/>
    </row>
    <row r="820" ht="15.75" customHeight="1" s="33">
      <c r="D820" s="12" t="n"/>
      <c r="F820" s="12" t="n"/>
    </row>
    <row r="821" ht="15.75" customHeight="1" s="33">
      <c r="D821" s="12" t="n"/>
      <c r="F821" s="12" t="n"/>
    </row>
    <row r="822" ht="15.75" customHeight="1" s="33">
      <c r="D822" s="12" t="n"/>
      <c r="F822" s="12" t="n"/>
    </row>
    <row r="823" ht="15.75" customHeight="1" s="33">
      <c r="D823" s="12" t="n"/>
      <c r="F823" s="12" t="n"/>
    </row>
    <row r="824" ht="15.75" customHeight="1" s="33">
      <c r="D824" s="12" t="n"/>
      <c r="F824" s="12" t="n"/>
    </row>
    <row r="825" ht="15.75" customHeight="1" s="33">
      <c r="D825" s="12" t="n"/>
      <c r="F825" s="12" t="n"/>
    </row>
    <row r="826" ht="15.75" customHeight="1" s="33">
      <c r="D826" s="12" t="n"/>
      <c r="F826" s="12" t="n"/>
    </row>
    <row r="827" ht="15.75" customHeight="1" s="33">
      <c r="D827" s="12" t="n"/>
      <c r="F827" s="12" t="n"/>
    </row>
    <row r="828" ht="15.75" customHeight="1" s="33">
      <c r="D828" s="12" t="n"/>
      <c r="F828" s="12" t="n"/>
    </row>
    <row r="829" ht="15.75" customHeight="1" s="33">
      <c r="D829" s="12" t="n"/>
      <c r="F829" s="12" t="n"/>
    </row>
    <row r="830" ht="15.75" customHeight="1" s="33">
      <c r="D830" s="12" t="n"/>
      <c r="F830" s="12" t="n"/>
    </row>
    <row r="831" ht="15.75" customHeight="1" s="33">
      <c r="D831" s="12" t="n"/>
      <c r="F831" s="12" t="n"/>
    </row>
    <row r="832" ht="15.75" customHeight="1" s="33">
      <c r="D832" s="12" t="n"/>
      <c r="F832" s="12" t="n"/>
    </row>
    <row r="833" ht="15.75" customHeight="1" s="33">
      <c r="D833" s="12" t="n"/>
      <c r="F833" s="12" t="n"/>
    </row>
    <row r="834" ht="15.75" customHeight="1" s="33">
      <c r="D834" s="12" t="n"/>
      <c r="F834" s="12" t="n"/>
    </row>
    <row r="835" ht="15.75" customHeight="1" s="33">
      <c r="D835" s="12" t="n"/>
      <c r="F835" s="12" t="n"/>
    </row>
    <row r="836" ht="15.75" customHeight="1" s="33">
      <c r="D836" s="12" t="n"/>
      <c r="F836" s="12" t="n"/>
    </row>
    <row r="837" ht="15.75" customHeight="1" s="33">
      <c r="D837" s="12" t="n"/>
      <c r="F837" s="12" t="n"/>
    </row>
    <row r="838" ht="15.75" customHeight="1" s="33">
      <c r="D838" s="12" t="n"/>
      <c r="F838" s="12" t="n"/>
    </row>
    <row r="839" ht="15.75" customHeight="1" s="33">
      <c r="D839" s="12" t="n"/>
      <c r="F839" s="12" t="n"/>
    </row>
    <row r="840" ht="15.75" customHeight="1" s="33">
      <c r="D840" s="12" t="n"/>
      <c r="F840" s="12" t="n"/>
    </row>
    <row r="841" ht="15.75" customHeight="1" s="33">
      <c r="D841" s="12" t="n"/>
      <c r="F841" s="12" t="n"/>
    </row>
    <row r="842" ht="15.75" customHeight="1" s="33">
      <c r="D842" s="12" t="n"/>
      <c r="F842" s="12" t="n"/>
    </row>
    <row r="843" ht="15.75" customHeight="1" s="33">
      <c r="D843" s="12" t="n"/>
      <c r="F843" s="12" t="n"/>
    </row>
    <row r="844" ht="15.75" customHeight="1" s="33">
      <c r="D844" s="12" t="n"/>
      <c r="F844" s="12" t="n"/>
    </row>
    <row r="845" ht="15.75" customHeight="1" s="33">
      <c r="D845" s="12" t="n"/>
      <c r="F845" s="12" t="n"/>
    </row>
    <row r="846" ht="15.75" customHeight="1" s="33">
      <c r="D846" s="12" t="n"/>
      <c r="F846" s="12" t="n"/>
    </row>
    <row r="847" ht="15.75" customHeight="1" s="33">
      <c r="D847" s="12" t="n"/>
      <c r="F847" s="12" t="n"/>
    </row>
    <row r="848" ht="15.75" customHeight="1" s="33">
      <c r="D848" s="12" t="n"/>
      <c r="F848" s="12" t="n"/>
    </row>
    <row r="849" ht="15.75" customHeight="1" s="33">
      <c r="D849" s="12" t="n"/>
      <c r="F849" s="12" t="n"/>
    </row>
    <row r="850" ht="15.75" customHeight="1" s="33">
      <c r="D850" s="12" t="n"/>
      <c r="F850" s="12" t="n"/>
    </row>
    <row r="851" ht="15.75" customHeight="1" s="33">
      <c r="D851" s="12" t="n"/>
      <c r="F851" s="12" t="n"/>
    </row>
    <row r="852" ht="15.75" customHeight="1" s="33">
      <c r="D852" s="12" t="n"/>
      <c r="F852" s="12" t="n"/>
    </row>
    <row r="853" ht="15.75" customHeight="1" s="33">
      <c r="D853" s="12" t="n"/>
      <c r="F853" s="12" t="n"/>
    </row>
    <row r="854" ht="15.75" customHeight="1" s="33">
      <c r="D854" s="12" t="n"/>
      <c r="F854" s="12" t="n"/>
    </row>
    <row r="855" ht="15.75" customHeight="1" s="33">
      <c r="D855" s="12" t="n"/>
      <c r="F855" s="12" t="n"/>
    </row>
    <row r="856" ht="15.75" customHeight="1" s="33">
      <c r="D856" s="12" t="n"/>
      <c r="F856" s="12" t="n"/>
    </row>
    <row r="857" ht="15.75" customHeight="1" s="33">
      <c r="D857" s="12" t="n"/>
      <c r="F857" s="12" t="n"/>
    </row>
    <row r="858" ht="15.75" customHeight="1" s="33">
      <c r="D858" s="12" t="n"/>
      <c r="F858" s="12" t="n"/>
    </row>
    <row r="859" ht="15.75" customHeight="1" s="33">
      <c r="D859" s="12" t="n"/>
      <c r="F859" s="12" t="n"/>
    </row>
    <row r="860" ht="15.75" customHeight="1" s="33">
      <c r="D860" s="12" t="n"/>
      <c r="F860" s="12" t="n"/>
    </row>
    <row r="861" ht="15.75" customHeight="1" s="33">
      <c r="D861" s="12" t="n"/>
      <c r="F861" s="12" t="n"/>
    </row>
    <row r="862" ht="15.75" customHeight="1" s="33">
      <c r="D862" s="12" t="n"/>
      <c r="F862" s="12" t="n"/>
    </row>
    <row r="863" ht="15.75" customHeight="1" s="33">
      <c r="D863" s="12" t="n"/>
      <c r="F863" s="12" t="n"/>
    </row>
    <row r="864" ht="15.75" customHeight="1" s="33">
      <c r="D864" s="12" t="n"/>
      <c r="F864" s="12" t="n"/>
    </row>
    <row r="865" ht="15.75" customHeight="1" s="33">
      <c r="D865" s="12" t="n"/>
      <c r="F865" s="12" t="n"/>
    </row>
    <row r="866" ht="15.75" customHeight="1" s="33">
      <c r="D866" s="12" t="n"/>
      <c r="F866" s="12" t="n"/>
    </row>
    <row r="867" ht="15.75" customHeight="1" s="33">
      <c r="D867" s="12" t="n"/>
      <c r="F867" s="12" t="n"/>
    </row>
    <row r="868" ht="15.75" customHeight="1" s="33">
      <c r="D868" s="12" t="n"/>
      <c r="F868" s="12" t="n"/>
    </row>
    <row r="869" ht="15.75" customHeight="1" s="33">
      <c r="D869" s="12" t="n"/>
      <c r="F869" s="12" t="n"/>
    </row>
    <row r="870" ht="15.75" customHeight="1" s="33">
      <c r="D870" s="12" t="n"/>
      <c r="F870" s="12" t="n"/>
    </row>
    <row r="871" ht="15.75" customHeight="1" s="33">
      <c r="D871" s="12" t="n"/>
      <c r="F871" s="12" t="n"/>
    </row>
    <row r="872" ht="15.75" customHeight="1" s="33">
      <c r="D872" s="12" t="n"/>
      <c r="F872" s="12" t="n"/>
    </row>
    <row r="873" ht="15.75" customHeight="1" s="33">
      <c r="D873" s="12" t="n"/>
      <c r="F873" s="12" t="n"/>
    </row>
    <row r="874" ht="15.75" customHeight="1" s="33">
      <c r="D874" s="12" t="n"/>
      <c r="F874" s="12" t="n"/>
    </row>
    <row r="875" ht="15.75" customHeight="1" s="33">
      <c r="D875" s="12" t="n"/>
      <c r="F875" s="12" t="n"/>
    </row>
    <row r="876" ht="15.75" customHeight="1" s="33">
      <c r="D876" s="12" t="n"/>
      <c r="F876" s="12" t="n"/>
    </row>
    <row r="877" ht="15.75" customHeight="1" s="33">
      <c r="D877" s="12" t="n"/>
      <c r="F877" s="12" t="n"/>
    </row>
    <row r="878" ht="15.75" customHeight="1" s="33">
      <c r="D878" s="12" t="n"/>
      <c r="F878" s="12" t="n"/>
    </row>
    <row r="879" ht="15.75" customHeight="1" s="33">
      <c r="D879" s="12" t="n"/>
      <c r="F879" s="12" t="n"/>
    </row>
    <row r="880" ht="15.75" customHeight="1" s="33">
      <c r="D880" s="12" t="n"/>
      <c r="F880" s="12" t="n"/>
    </row>
    <row r="881" ht="15.75" customHeight="1" s="33">
      <c r="D881" s="12" t="n"/>
      <c r="F881" s="12" t="n"/>
    </row>
    <row r="882" ht="15.75" customHeight="1" s="33">
      <c r="D882" s="12" t="n"/>
      <c r="F882" s="12" t="n"/>
    </row>
    <row r="883" ht="15.75" customHeight="1" s="33">
      <c r="D883" s="12" t="n"/>
      <c r="F883" s="12" t="n"/>
    </row>
    <row r="884" ht="15.75" customHeight="1" s="33">
      <c r="D884" s="12" t="n"/>
      <c r="F884" s="12" t="n"/>
    </row>
    <row r="885" ht="15.75" customHeight="1" s="33">
      <c r="D885" s="12" t="n"/>
      <c r="F885" s="12" t="n"/>
    </row>
    <row r="886" ht="15.75" customHeight="1" s="33">
      <c r="D886" s="12" t="n"/>
      <c r="F886" s="12" t="n"/>
    </row>
    <row r="887" ht="15.75" customHeight="1" s="33">
      <c r="D887" s="12" t="n"/>
      <c r="F887" s="12" t="n"/>
    </row>
    <row r="888" ht="15.75" customHeight="1" s="33">
      <c r="D888" s="12" t="n"/>
      <c r="F888" s="12" t="n"/>
    </row>
    <row r="889" ht="15.75" customHeight="1" s="33">
      <c r="D889" s="12" t="n"/>
      <c r="F889" s="12" t="n"/>
    </row>
    <row r="890" ht="15.75" customHeight="1" s="33">
      <c r="D890" s="12" t="n"/>
      <c r="F890" s="12" t="n"/>
    </row>
    <row r="891" ht="15.75" customHeight="1" s="33">
      <c r="D891" s="12" t="n"/>
      <c r="F891" s="12" t="n"/>
    </row>
    <row r="892" ht="15.75" customHeight="1" s="33">
      <c r="D892" s="12" t="n"/>
      <c r="F892" s="12" t="n"/>
    </row>
    <row r="893" ht="15.75" customHeight="1" s="33">
      <c r="D893" s="12" t="n"/>
      <c r="F893" s="12" t="n"/>
    </row>
    <row r="894" ht="15.75" customHeight="1" s="33">
      <c r="D894" s="12" t="n"/>
      <c r="F894" s="12" t="n"/>
    </row>
    <row r="895" ht="15.75" customHeight="1" s="33">
      <c r="D895" s="12" t="n"/>
      <c r="F895" s="12" t="n"/>
    </row>
    <row r="896" ht="15.75" customHeight="1" s="33">
      <c r="D896" s="12" t="n"/>
      <c r="F896" s="12" t="n"/>
    </row>
    <row r="897" ht="15.75" customHeight="1" s="33">
      <c r="D897" s="12" t="n"/>
      <c r="F897" s="12" t="n"/>
    </row>
    <row r="898" ht="15.75" customHeight="1" s="33">
      <c r="D898" s="12" t="n"/>
      <c r="F898" s="12" t="n"/>
    </row>
    <row r="899" ht="15.75" customHeight="1" s="33">
      <c r="D899" s="12" t="n"/>
      <c r="F899" s="12" t="n"/>
    </row>
    <row r="900" ht="15.75" customHeight="1" s="33">
      <c r="D900" s="12" t="n"/>
      <c r="F900" s="12" t="n"/>
    </row>
    <row r="901" ht="15.75" customHeight="1" s="33">
      <c r="D901" s="12" t="n"/>
      <c r="F901" s="12" t="n"/>
    </row>
    <row r="902" ht="15.75" customHeight="1" s="33">
      <c r="D902" s="12" t="n"/>
      <c r="F902" s="12" t="n"/>
    </row>
    <row r="903" ht="15.75" customHeight="1" s="33">
      <c r="D903" s="12" t="n"/>
      <c r="F903" s="12" t="n"/>
    </row>
    <row r="904" ht="15.75" customHeight="1" s="33">
      <c r="D904" s="12" t="n"/>
      <c r="F904" s="12" t="n"/>
    </row>
    <row r="905" ht="15.75" customHeight="1" s="33">
      <c r="D905" s="12" t="n"/>
      <c r="F905" s="12" t="n"/>
    </row>
    <row r="906" ht="15.75" customHeight="1" s="33">
      <c r="D906" s="12" t="n"/>
      <c r="F906" s="12" t="n"/>
    </row>
    <row r="907" ht="15.75" customHeight="1" s="33">
      <c r="D907" s="12" t="n"/>
      <c r="F907" s="12" t="n"/>
    </row>
    <row r="908" ht="15.75" customHeight="1" s="33">
      <c r="D908" s="12" t="n"/>
      <c r="F908" s="12" t="n"/>
    </row>
    <row r="909" ht="15.75" customHeight="1" s="33">
      <c r="D909" s="12" t="n"/>
      <c r="F909" s="12" t="n"/>
    </row>
    <row r="910" ht="15.75" customHeight="1" s="33">
      <c r="D910" s="12" t="n"/>
      <c r="F910" s="12" t="n"/>
    </row>
    <row r="911" ht="15.75" customHeight="1" s="33">
      <c r="D911" s="12" t="n"/>
      <c r="F911" s="12" t="n"/>
    </row>
    <row r="912" ht="15.75" customHeight="1" s="33">
      <c r="D912" s="12" t="n"/>
      <c r="F912" s="12" t="n"/>
    </row>
    <row r="913" ht="15.75" customHeight="1" s="33">
      <c r="D913" s="12" t="n"/>
      <c r="F913" s="12" t="n"/>
    </row>
    <row r="914" ht="15.75" customHeight="1" s="33">
      <c r="D914" s="12" t="n"/>
      <c r="F914" s="12" t="n"/>
    </row>
    <row r="915" ht="15.75" customHeight="1" s="33">
      <c r="D915" s="12" t="n"/>
      <c r="F915" s="12" t="n"/>
    </row>
    <row r="916" ht="15.75" customHeight="1" s="33">
      <c r="D916" s="12" t="n"/>
      <c r="F916" s="12" t="n"/>
    </row>
    <row r="917" ht="15.75" customHeight="1" s="33">
      <c r="D917" s="12" t="n"/>
      <c r="F917" s="12" t="n"/>
    </row>
    <row r="918" ht="15.75" customHeight="1" s="33">
      <c r="D918" s="12" t="n"/>
      <c r="F918" s="12" t="n"/>
    </row>
    <row r="919" ht="15.75" customHeight="1" s="33">
      <c r="D919" s="12" t="n"/>
      <c r="F919" s="12" t="n"/>
    </row>
    <row r="920" ht="15.75" customHeight="1" s="33">
      <c r="D920" s="12" t="n"/>
      <c r="F920" s="12" t="n"/>
    </row>
    <row r="921" ht="15.75" customHeight="1" s="33">
      <c r="D921" s="12" t="n"/>
      <c r="F921" s="12" t="n"/>
    </row>
    <row r="922" ht="15.75" customHeight="1" s="33">
      <c r="D922" s="12" t="n"/>
      <c r="F922" s="12" t="n"/>
    </row>
    <row r="923" ht="15.75" customHeight="1" s="33">
      <c r="D923" s="12" t="n"/>
      <c r="F923" s="12" t="n"/>
    </row>
    <row r="924" ht="15.75" customHeight="1" s="33">
      <c r="D924" s="12" t="n"/>
      <c r="F924" s="12" t="n"/>
    </row>
    <row r="925" ht="15.75" customHeight="1" s="33">
      <c r="D925" s="12" t="n"/>
      <c r="F925" s="12" t="n"/>
    </row>
    <row r="926" ht="15.75" customHeight="1" s="33">
      <c r="D926" s="12" t="n"/>
      <c r="F926" s="12" t="n"/>
    </row>
    <row r="927" ht="15.75" customHeight="1" s="33">
      <c r="D927" s="12" t="n"/>
      <c r="F927" s="12" t="n"/>
    </row>
    <row r="928" ht="15.75" customHeight="1" s="33">
      <c r="D928" s="12" t="n"/>
      <c r="F928" s="12" t="n"/>
    </row>
    <row r="929" ht="15.75" customHeight="1" s="33">
      <c r="D929" s="12" t="n"/>
      <c r="F929" s="12" t="n"/>
    </row>
    <row r="930" ht="15.75" customHeight="1" s="33">
      <c r="D930" s="12" t="n"/>
      <c r="F930" s="12" t="n"/>
    </row>
    <row r="931" ht="15.75" customHeight="1" s="33">
      <c r="D931" s="12" t="n"/>
      <c r="F931" s="12" t="n"/>
    </row>
    <row r="932" ht="15.75" customHeight="1" s="33">
      <c r="D932" s="12" t="n"/>
      <c r="F932" s="12" t="n"/>
    </row>
    <row r="933" ht="15.75" customHeight="1" s="33">
      <c r="D933" s="12" t="n"/>
      <c r="F933" s="12" t="n"/>
    </row>
    <row r="934" ht="15.75" customHeight="1" s="33">
      <c r="D934" s="12" t="n"/>
      <c r="F934" s="12" t="n"/>
    </row>
    <row r="935" ht="15.75" customHeight="1" s="33">
      <c r="D935" s="12" t="n"/>
      <c r="F935" s="12" t="n"/>
    </row>
    <row r="936" ht="15.75" customHeight="1" s="33">
      <c r="D936" s="12" t="n"/>
      <c r="F936" s="12" t="n"/>
    </row>
    <row r="937" ht="15.75" customHeight="1" s="33">
      <c r="D937" s="12" t="n"/>
      <c r="F937" s="12" t="n"/>
    </row>
    <row r="938" ht="15.75" customHeight="1" s="33">
      <c r="D938" s="12" t="n"/>
      <c r="F938" s="12" t="n"/>
    </row>
    <row r="939" ht="15.75" customHeight="1" s="33">
      <c r="D939" s="12" t="n"/>
      <c r="F939" s="12" t="n"/>
    </row>
    <row r="940" ht="15.75" customHeight="1" s="33">
      <c r="D940" s="12" t="n"/>
      <c r="F940" s="12" t="n"/>
    </row>
    <row r="941" ht="15.75" customHeight="1" s="33">
      <c r="D941" s="12" t="n"/>
      <c r="F941" s="12" t="n"/>
    </row>
    <row r="942" ht="15.75" customHeight="1" s="33">
      <c r="D942" s="12" t="n"/>
      <c r="F942" s="12" t="n"/>
    </row>
    <row r="943" ht="15.75" customHeight="1" s="33">
      <c r="D943" s="12" t="n"/>
      <c r="F943" s="12" t="n"/>
    </row>
    <row r="944" ht="15.75" customHeight="1" s="33">
      <c r="D944" s="12" t="n"/>
      <c r="F944" s="12" t="n"/>
    </row>
    <row r="945" ht="15.75" customHeight="1" s="33">
      <c r="D945" s="12" t="n"/>
      <c r="F945" s="12" t="n"/>
    </row>
    <row r="946" ht="15.75" customHeight="1" s="33">
      <c r="D946" s="12" t="n"/>
      <c r="F946" s="12" t="n"/>
    </row>
    <row r="947" ht="15.75" customHeight="1" s="33">
      <c r="D947" s="12" t="n"/>
      <c r="F947" s="12" t="n"/>
    </row>
    <row r="948" ht="15.75" customHeight="1" s="33">
      <c r="D948" s="12" t="n"/>
      <c r="F948" s="12" t="n"/>
    </row>
    <row r="949" ht="15.75" customHeight="1" s="33">
      <c r="D949" s="12" t="n"/>
      <c r="F949" s="12" t="n"/>
    </row>
    <row r="950" ht="15.75" customHeight="1" s="33">
      <c r="D950" s="12" t="n"/>
      <c r="F950" s="12" t="n"/>
    </row>
    <row r="951" ht="15.75" customHeight="1" s="33">
      <c r="D951" s="12" t="n"/>
      <c r="F951" s="12" t="n"/>
    </row>
    <row r="952" ht="15.75" customHeight="1" s="33">
      <c r="D952" s="12" t="n"/>
      <c r="F952" s="12" t="n"/>
    </row>
    <row r="953" ht="15.75" customHeight="1" s="33">
      <c r="D953" s="12" t="n"/>
      <c r="F953" s="12" t="n"/>
    </row>
    <row r="954" ht="15.75" customHeight="1" s="33">
      <c r="D954" s="12" t="n"/>
      <c r="F954" s="12" t="n"/>
    </row>
    <row r="955" ht="15.75" customHeight="1" s="33">
      <c r="D955" s="12" t="n"/>
      <c r="F955" s="12" t="n"/>
    </row>
    <row r="956" ht="15.75" customHeight="1" s="33">
      <c r="D956" s="12" t="n"/>
      <c r="F956" s="12" t="n"/>
    </row>
    <row r="957" ht="15.75" customHeight="1" s="33">
      <c r="D957" s="12" t="n"/>
      <c r="F957" s="12" t="n"/>
    </row>
    <row r="958" ht="15.75" customHeight="1" s="33">
      <c r="D958" s="12" t="n"/>
      <c r="F958" s="12" t="n"/>
    </row>
    <row r="959" ht="15.75" customHeight="1" s="33">
      <c r="D959" s="12" t="n"/>
      <c r="F959" s="12" t="n"/>
    </row>
    <row r="960" ht="15.75" customHeight="1" s="33">
      <c r="D960" s="12" t="n"/>
      <c r="F960" s="12" t="n"/>
    </row>
    <row r="961" ht="15.75" customHeight="1" s="33">
      <c r="D961" s="12" t="n"/>
      <c r="F961" s="12" t="n"/>
    </row>
    <row r="962" ht="15.75" customHeight="1" s="33">
      <c r="D962" s="12" t="n"/>
      <c r="F962" s="12" t="n"/>
    </row>
    <row r="963" ht="15.75" customHeight="1" s="33">
      <c r="D963" s="12" t="n"/>
      <c r="F963" s="12" t="n"/>
    </row>
    <row r="964" ht="15.75" customHeight="1" s="33">
      <c r="D964" s="12" t="n"/>
      <c r="F964" s="12" t="n"/>
    </row>
    <row r="965" ht="15.75" customHeight="1" s="33">
      <c r="D965" s="12" t="n"/>
      <c r="F965" s="12" t="n"/>
    </row>
    <row r="966" ht="15.75" customHeight="1" s="33">
      <c r="D966" s="12" t="n"/>
      <c r="F966" s="12" t="n"/>
    </row>
    <row r="967" ht="15.75" customHeight="1" s="33">
      <c r="D967" s="12" t="n"/>
      <c r="F967" s="12" t="n"/>
    </row>
    <row r="968" ht="15.75" customHeight="1" s="33">
      <c r="D968" s="12" t="n"/>
      <c r="F968" s="12" t="n"/>
    </row>
    <row r="969" ht="15.75" customHeight="1" s="33">
      <c r="D969" s="12" t="n"/>
      <c r="F969" s="12" t="n"/>
    </row>
    <row r="970" ht="15.75" customHeight="1" s="33">
      <c r="D970" s="12" t="n"/>
      <c r="F970" s="12" t="n"/>
    </row>
    <row r="971" ht="15.75" customHeight="1" s="33">
      <c r="D971" s="12" t="n"/>
      <c r="F971" s="12" t="n"/>
    </row>
    <row r="972" ht="15.75" customHeight="1" s="33">
      <c r="D972" s="12" t="n"/>
      <c r="F972" s="12" t="n"/>
    </row>
    <row r="973" ht="15.75" customHeight="1" s="33">
      <c r="D973" s="12" t="n"/>
      <c r="F973" s="12" t="n"/>
    </row>
    <row r="974" ht="15.75" customHeight="1" s="33">
      <c r="D974" s="12" t="n"/>
      <c r="F974" s="12" t="n"/>
    </row>
    <row r="975" ht="15.75" customHeight="1" s="33">
      <c r="D975" s="12" t="n"/>
      <c r="F975" s="12" t="n"/>
    </row>
    <row r="976" ht="15.75" customHeight="1" s="33">
      <c r="D976" s="12" t="n"/>
      <c r="F976" s="12" t="n"/>
    </row>
    <row r="977" ht="15.75" customHeight="1" s="33">
      <c r="D977" s="12" t="n"/>
      <c r="F977" s="12" t="n"/>
    </row>
    <row r="978" ht="15.75" customHeight="1" s="33">
      <c r="D978" s="12" t="n"/>
      <c r="F978" s="12" t="n"/>
    </row>
    <row r="979" ht="15.75" customHeight="1" s="33">
      <c r="D979" s="12" t="n"/>
      <c r="F979" s="12" t="n"/>
    </row>
    <row r="980" ht="15.75" customHeight="1" s="33">
      <c r="D980" s="12" t="n"/>
      <c r="F980" s="12" t="n"/>
    </row>
    <row r="981" ht="15.75" customHeight="1" s="33">
      <c r="D981" s="12" t="n"/>
      <c r="F981" s="12" t="n"/>
    </row>
    <row r="982" ht="15.75" customHeight="1" s="33">
      <c r="D982" s="12" t="n"/>
      <c r="F982" s="12" t="n"/>
    </row>
    <row r="983" ht="15.75" customHeight="1" s="33">
      <c r="D983" s="12" t="n"/>
      <c r="F983" s="12" t="n"/>
    </row>
    <row r="984" ht="15.75" customHeight="1" s="33">
      <c r="D984" s="12" t="n"/>
      <c r="F984" s="12" t="n"/>
    </row>
    <row r="985" ht="15.75" customHeight="1" s="33">
      <c r="D985" s="12" t="n"/>
      <c r="F985" s="12" t="n"/>
    </row>
    <row r="986" ht="15.75" customHeight="1" s="33">
      <c r="D986" s="12" t="n"/>
      <c r="F986" s="12" t="n"/>
    </row>
    <row r="987" ht="15.75" customHeight="1" s="33">
      <c r="D987" s="12" t="n"/>
      <c r="F987" s="12" t="n"/>
    </row>
    <row r="988" ht="15.75" customHeight="1" s="33">
      <c r="D988" s="12" t="n"/>
      <c r="F988" s="12" t="n"/>
    </row>
    <row r="989" ht="15.75" customHeight="1" s="33">
      <c r="D989" s="12" t="n"/>
      <c r="F989" s="12" t="n"/>
    </row>
    <row r="990" ht="15.75" customHeight="1" s="33">
      <c r="D990" s="12" t="n"/>
      <c r="F990" s="12" t="n"/>
    </row>
    <row r="991" ht="15.75" customHeight="1" s="33">
      <c r="D991" s="12" t="n"/>
      <c r="F991" s="12" t="n"/>
    </row>
    <row r="992" ht="15.75" customHeight="1" s="33">
      <c r="D992" s="12" t="n"/>
      <c r="F992" s="12" t="n"/>
    </row>
    <row r="993" ht="15.75" customHeight="1" s="33">
      <c r="D993" s="12" t="n"/>
      <c r="F993" s="12" t="n"/>
    </row>
    <row r="994" ht="15.75" customHeight="1" s="33">
      <c r="D994" s="12" t="n"/>
      <c r="F994" s="12" t="n"/>
    </row>
    <row r="995" ht="15.75" customHeight="1" s="33">
      <c r="D995" s="12" t="n"/>
      <c r="F995" s="12" t="n"/>
    </row>
    <row r="996" ht="15.75" customHeight="1" s="33">
      <c r="D996" s="12" t="n"/>
      <c r="F996" s="12" t="n"/>
    </row>
    <row r="997" ht="15.75" customHeight="1" s="33">
      <c r="D997" s="12" t="n"/>
      <c r="F997" s="12" t="n"/>
    </row>
    <row r="998" ht="15.75" customHeight="1" s="33">
      <c r="D998" s="12" t="n"/>
      <c r="F998" s="12" t="n"/>
    </row>
    <row r="999" ht="15.75" customHeight="1" s="33">
      <c r="D999" s="12" t="n"/>
      <c r="F999" s="12" t="n"/>
    </row>
    <row r="1000" ht="15.75" customHeight="1" s="33">
      <c r="D1000" s="12" t="n"/>
      <c r="F1000" s="12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39.71" customWidth="1" style="33" min="1" max="1"/>
    <col width="18" customWidth="1" style="33" min="2" max="4"/>
    <col width="60" customWidth="1" style="33" min="5" max="5"/>
    <col width="8.710000000000001" customWidth="1" style="33" min="6" max="26"/>
  </cols>
  <sheetData>
    <row r="1">
      <c r="A1" s="1" t="inlineStr">
        <is>
          <t>Scenarios</t>
        </is>
      </c>
    </row>
    <row r="2">
      <c r="A2" s="2" t="inlineStr">
        <is>
          <t>Metric</t>
        </is>
      </c>
      <c r="B2" s="2" t="inlineStr">
        <is>
          <t>Standard</t>
        </is>
      </c>
      <c r="C2" s="2" t="inlineStr">
        <is>
          <t>Early</t>
        </is>
      </c>
      <c r="D2" s="2" t="inlineStr">
        <is>
          <t>Late</t>
        </is>
      </c>
      <c r="E2" s="2" t="inlineStr">
        <is>
          <t>Notes</t>
        </is>
      </c>
    </row>
    <row r="3">
      <c r="A3" s="21" t="inlineStr">
        <is>
          <t>Exit Year</t>
        </is>
      </c>
      <c r="B3" s="10">
        <f>Y_std</f>
        <v/>
      </c>
      <c r="C3" s="10">
        <f>Y_early</f>
        <v/>
      </c>
      <c r="D3" s="10">
        <f>Y_late</f>
        <v/>
      </c>
      <c r="E3" s="20" t="inlineStr">
        <is>
          <t>Scenario years</t>
        </is>
      </c>
    </row>
    <row r="4">
      <c r="A4" s="21" t="inlineStr">
        <is>
          <t>MonthIndex</t>
        </is>
      </c>
      <c r="B4" s="10">
        <f>MIN(ROUND(ExitYearStandard*12,0),240)</f>
        <v/>
      </c>
      <c r="C4" s="10">
        <f>MIN(ROUND(ExitYearEarly*12,0),240)</f>
        <v/>
      </c>
      <c r="D4" s="10">
        <f>MIN(ROUND(ExitYearLate*12,0),240)</f>
        <v/>
      </c>
      <c r="E4" s="26" t="inlineStr">
        <is>
          <t>Month index for schedule lookups</t>
        </is>
      </c>
    </row>
    <row r="5">
      <c r="A5" s="21" t="inlineStr">
        <is>
          <t>CumPaid</t>
        </is>
      </c>
      <c r="B5" s="15">
        <f t="array" ref="B5">INDEX(Schedule!E:E, MonthIndexStandard+1)</f>
        <v/>
      </c>
      <c r="C5" s="15">
        <f t="array" ref="C5">INDEX(Schedule!E:E, MonthIndexEarly+1)</f>
        <v/>
      </c>
      <c r="D5" s="15">
        <f t="array" ref="D5">INDEX(Schedule!E:E, MonthIndexLate+1)</f>
        <v/>
      </c>
      <c r="E5" s="23" t="inlineStr">
        <is>
          <t>Cumulative payments made so far (installments only).</t>
        </is>
      </c>
    </row>
    <row r="6">
      <c r="A6" s="21" t="inlineStr">
        <is>
          <t>VestedEquity_total</t>
        </is>
      </c>
      <c r="B6" s="16">
        <f t="array" ref="B6">INDEX(Schedule!F:F, B4+1)</f>
        <v/>
      </c>
      <c r="C6" s="16">
        <f t="array" ref="C6">INDEX(Schedule!F:F, C4+1)</f>
        <v/>
      </c>
      <c r="D6" s="16">
        <f t="array" ref="D6">INDEX(Schedule!F:F, MonthIndexLate+1)</f>
        <v/>
      </c>
      <c r="E6" s="23" t="inlineStr">
        <is>
          <t>Total equity earned from installments so far.</t>
        </is>
      </c>
    </row>
    <row r="7">
      <c r="A7" s="21" t="inlineStr">
        <is>
          <t>UpfrontEquity</t>
        </is>
      </c>
      <c r="B7" s="16">
        <f>IF(I_upfront=0,0,I_upfront/SV)</f>
        <v/>
      </c>
      <c r="C7" s="16">
        <f>IF(I_upfront=0,0,I_upfront/SV)</f>
        <v/>
      </c>
      <c r="D7" s="16">
        <f>IF(I_upfront=0,0,I_upfront/SV)</f>
        <v/>
      </c>
      <c r="E7" s="23" t="inlineStr">
        <is>
          <t>Equity purchased from the upfront payment.</t>
        </is>
      </c>
    </row>
    <row r="8">
      <c r="A8" s="21" t="inlineStr">
        <is>
          <t>IBA_Buyer_paid_to_date</t>
        </is>
      </c>
      <c r="B8" s="15">
        <f>I_upfront + CumPaidStandard</f>
        <v/>
      </c>
      <c r="C8" s="15">
        <f>I_upfront + CumPaidEarly</f>
        <v/>
      </c>
      <c r="D8" s="15">
        <f>I_upfront + CumPaidLate</f>
        <v/>
      </c>
      <c r="E8" s="23" t="inlineStr">
        <is>
          <t>Investor Base Amount. Cash actually invested to date (not committed capital)</t>
        </is>
      </c>
    </row>
    <row r="9">
      <c r="A9" s="21" t="inlineStr">
        <is>
          <t>FMV_settlement</t>
        </is>
      </c>
      <c r="B9" s="15">
        <f>IF(FMV_Override&lt;&gt;"", FMV_Override, SV*(1+g)^B3)</f>
        <v/>
      </c>
      <c r="C9" s="15">
        <f>IF(FMV_Override&lt;&gt;"", FMV_Override, SV*(1+g)^C3)</f>
        <v/>
      </c>
      <c r="D9" s="15">
        <f>IF(FMV_Override&lt;&gt;"", FMV_Override, SV*(1+g)^D3)</f>
        <v/>
      </c>
      <c r="E9" s="23" t="inlineStr">
        <is>
          <t>Fair Market Value of the home at settlement.</t>
        </is>
      </c>
    </row>
    <row r="10">
      <c r="A10" s="21" t="inlineStr">
        <is>
          <t>TF</t>
        </is>
      </c>
      <c r="B10" s="10">
        <f>IF(B3&lt;CPW_start, TF_early, IF(B3&gt;CPW_end, TF_late, 1))</f>
        <v/>
      </c>
      <c r="C10" s="10">
        <f>IF(C3&lt;CPW_start, TF_early, IF(C3&gt;CPW_end, TF_late, 1))</f>
        <v/>
      </c>
      <c r="D10" s="10">
        <f>IF(D3&lt;CPW_start, TF_early, IF(D3&gt;CPW_end, TF_late, 1))</f>
        <v/>
      </c>
      <c r="E10" s="23" t="inlineStr">
        <is>
          <t>TF (Timing Factor) A multiplier that adjusts payout based on when the deal ends.</t>
        </is>
      </c>
    </row>
    <row r="11">
      <c r="A11" s="24" t="n"/>
      <c r="B11" s="10" t="n"/>
      <c r="C11" s="10" t="n"/>
      <c r="D11" s="10" t="n"/>
      <c r="E11" s="23" t="n"/>
    </row>
    <row r="12">
      <c r="A12" s="25" t="inlineStr">
        <is>
          <t>BUYER CONTRACT RETURN</t>
        </is>
      </c>
      <c r="B12" s="10" t="n"/>
      <c r="C12" s="10" t="n"/>
      <c r="D12" s="10" t="n"/>
      <c r="E12" s="23" t="n"/>
    </row>
    <row r="13">
      <c r="A13" s="21" t="inlineStr">
        <is>
          <t>BaseEquityValue</t>
        </is>
      </c>
      <c r="B13" s="15">
        <f>FMV_settlementStandard * VestedEquity_total_Standard</f>
        <v/>
      </c>
      <c r="C13" s="15">
        <f>FMV_settlementEarly * VestedEquity_total_Early</f>
        <v/>
      </c>
      <c r="D13" s="15">
        <f>FMV_settlementLate * VestedEquity_total_Late</f>
        <v/>
      </c>
      <c r="E13" s="23" t="inlineStr">
        <is>
          <t>Value of buyer’s vested equity at FMV (no timing, no floor/ceiling).</t>
        </is>
      </c>
    </row>
    <row r="14">
      <c r="A14" s="21" t="inlineStr">
        <is>
          <t>GainAboveCapital</t>
        </is>
      </c>
      <c r="B14" s="15">
        <f>(MAX(0,BaseEquityValueStandard-IBAStandard))</f>
        <v/>
      </c>
      <c r="C14" s="15">
        <f>(MAX(0,BaseEquityValueEarly-IBAEarly))</f>
        <v/>
      </c>
      <c r="D14" s="15">
        <f>(MAX(0,BaseEquityValueLate-IBALate))</f>
        <v/>
      </c>
      <c r="E14" s="23" t="inlineStr">
        <is>
          <t>UIA adjusted by early/late timing factor (TF).</t>
        </is>
      </c>
    </row>
    <row r="15">
      <c r="A15" s="21" t="inlineStr">
        <is>
          <t>ISA_preFloorCap</t>
        </is>
      </c>
      <c r="B15" s="15">
        <f>IBAStandard + (GainAboveCapitalStandard * TimingFactorStandard)</f>
        <v/>
      </c>
      <c r="C15" s="15">
        <f>IBAEarly + (GainAboveCapitalEarly * TimingFactorEarly)</f>
        <v/>
      </c>
      <c r="D15" s="15">
        <f>IBALate + (GainAboveCapitalLate * TimingFactorLate)
</f>
        <v/>
      </c>
      <c r="E15" s="23" t="n"/>
    </row>
    <row r="16">
      <c r="A16" s="21" t="inlineStr">
        <is>
          <t>FloorAmount</t>
        </is>
      </c>
      <c r="B16" s="15">
        <f>IBAStandard* FM</f>
        <v/>
      </c>
      <c r="C16" s="15">
        <f>IBAEarly * FM</f>
        <v/>
      </c>
      <c r="D16" s="15">
        <f>IBALate * FM</f>
        <v/>
      </c>
      <c r="E16" s="23" t="inlineStr">
        <is>
          <t>Minimum payout = Floor multiple × total buyer cash invested (IBA). Floors and timing factors are contractual settlement terms, not guaranteed returns or interest.</t>
        </is>
      </c>
    </row>
    <row r="17">
      <c r="A17" s="21" t="inlineStr">
        <is>
          <t>CeilingAmount</t>
        </is>
      </c>
      <c r="B17" s="15">
        <f>IBAStandard * CM</f>
        <v/>
      </c>
      <c r="C17" s="15">
        <f>IBAEarly * CM</f>
        <v/>
      </c>
      <c r="D17" s="15">
        <f>IBALate * CM</f>
        <v/>
      </c>
      <c r="E17" s="23" t="inlineStr">
        <is>
          <t>Maximum payout = Ceiling multiple × total buyer cash invested (IBA).</t>
        </is>
      </c>
    </row>
    <row r="18">
      <c r="A18" s="21" t="inlineStr">
        <is>
          <t>ISA_settlement</t>
        </is>
      </c>
      <c r="B18" s="15">
        <f>IF(DownsideMode="HARD_FLOOR",MIN(MAX(ISA_preFloorCapStandard, FloorAmountStandard), CeilingAmountStandard),MIN(ISA_preFloorCapStandard, CeilingAmountStandard))</f>
        <v/>
      </c>
      <c r="C18" s="15">
        <f>IF(DownsideMode="HARD_FLOOR",MIN(MAX(ISA_preFloorCapEarly, FloorAmountEarly), CeilingAmountEarly),MIN(ISA_preFloorCapEarly, CeilingAmountEarly))</f>
        <v/>
      </c>
      <c r="D18" s="15">
        <f>IF(DownsideMode="HARD_FLOOR",MIN(MAX(ISA_preFloorCapLate, FloorAmountLate), CeilingAmountLate),MIN(ISA_preFloorCapLate, CeilingAmountLate))</f>
        <v/>
      </c>
      <c r="E18" s="26" t="inlineStr">
        <is>
          <t>Final contract payout to buyer for their equity (after timing, within floor/ceiling).</t>
        </is>
      </c>
    </row>
    <row r="19">
      <c r="A19" s="21" t="inlineStr">
        <is>
          <t>Gross Profit</t>
        </is>
      </c>
      <c r="B19" s="15">
        <f>ISA_settlementStandard-IBAStandard</f>
        <v/>
      </c>
      <c r="C19" s="15">
        <f>ISA_settlementEarly-IBAEarly</f>
        <v/>
      </c>
      <c r="D19" s="15">
        <f>ISA_settlementLate-IBALate</f>
        <v/>
      </c>
      <c r="E19" s="26" t="inlineStr">
        <is>
          <t>Buyer contract profit before any shared fees = ISA − IBA.</t>
        </is>
      </c>
    </row>
    <row r="20">
      <c r="A20" s="21" t="inlineStr">
        <is>
          <t>NetAfterSharedFees</t>
        </is>
      </c>
      <c r="B20" s="15">
        <f>BuyerGross_Standard-BuyerSharedFeesAndClosingStandard</f>
        <v/>
      </c>
      <c r="C20" s="15">
        <f>BuyerGross_Early-BuyerSharedFeesAndClosingEarly</f>
        <v/>
      </c>
      <c r="D20" s="15">
        <f>BuyerGross_Late-BuyerSharedFeesAndClosingLate</f>
        <v/>
      </c>
      <c r="E20" s="26" t="n"/>
    </row>
    <row r="21">
      <c r="A21" s="10" t="n"/>
      <c r="B21" s="10" t="n"/>
      <c r="C21" s="10" t="n"/>
      <c r="D21" s="10" t="n"/>
      <c r="E21" s="26" t="n"/>
    </row>
    <row r="22">
      <c r="A22" s="25" t="inlineStr">
        <is>
          <t>FEE SHARING &amp; PLATFORM ECONOMICS</t>
        </is>
      </c>
      <c r="B22" s="10" t="n"/>
      <c r="C22" s="10" t="n"/>
      <c r="D22" s="10" t="n"/>
      <c r="E22" s="27" t="n"/>
    </row>
    <row r="23">
      <c r="A23" s="21" t="inlineStr">
        <is>
          <t>ServicingTotal</t>
        </is>
      </c>
      <c r="B23" s="15">
        <f>ServicingFee * ROUND(ExitYearStandard*12,0)</f>
        <v/>
      </c>
      <c r="C23" s="15">
        <f>ServicingFee * ROUND(ExitYearEarly*12,0)</f>
        <v/>
      </c>
      <c r="D23" s="15">
        <f>ServicingFee * ROUND(ExitYearLate*12,0)</f>
        <v/>
      </c>
      <c r="E23" s="23" t="inlineStr">
        <is>
          <t>Total servicing fees collected over time.</t>
        </is>
      </c>
    </row>
    <row r="24">
      <c r="A24" s="21" t="inlineStr">
        <is>
          <t>ExitFee</t>
        </is>
      </c>
      <c r="B24" s="15">
        <f>ExitFeePct * ISA_settlementStandard</f>
        <v/>
      </c>
      <c r="C24" s="15">
        <f>ExitFeePct * ISA_settlementEarly</f>
        <v/>
      </c>
      <c r="D24" s="15">
        <f>ExitFeePct * ISA_settlementLate</f>
        <v/>
      </c>
      <c r="E24" s="23" t="inlineStr">
        <is>
          <t>Transaction fee charged at settlement.</t>
        </is>
      </c>
    </row>
    <row r="25">
      <c r="A25" s="21" t="inlineStr">
        <is>
          <t>FractPathGross</t>
        </is>
      </c>
      <c r="B25" s="15">
        <f>PlatformFee + ServicingTotalStandard + ExitFeeStandard+ AppraisalFee</f>
        <v/>
      </c>
      <c r="C25" s="15">
        <f>PlatformFee + ServicingTotalEarly + ExitFeeEarly+AppraisalFee</f>
        <v/>
      </c>
      <c r="D25" s="15">
        <f>PlatformFee + ServicingTotalLate + ExitFeeLate+AppraisalFee</f>
        <v/>
      </c>
      <c r="E25" s="23" t="inlineStr">
        <is>
          <t>All revenue FractPath generates from this deal.</t>
        </is>
      </c>
    </row>
    <row r="26">
      <c r="A26" s="21" t="inlineStr">
        <is>
          <t>TotalCFeesAndClosing</t>
        </is>
      </c>
      <c r="B26" s="15">
        <f>(ClosingCosts*FMV_settlementStandard) + FractPathGrossStandard</f>
        <v/>
      </c>
      <c r="C26" s="15">
        <f>(ClosingCosts*FMV_settlementEarly) + FractPathGrossEarly</f>
        <v/>
      </c>
      <c r="D26" s="15">
        <f>(ClosingCosts*FMV_settlementLate) + FractPathGrossLate</f>
        <v/>
      </c>
      <c r="E26" s="23" t="inlineStr">
        <is>
          <t>Total platform, servicing, exit fee, and closing costs for this settlement.”</t>
        </is>
      </c>
    </row>
    <row r="27">
      <c r="A27" s="21" t="inlineStr">
        <is>
          <t>BuyerSharedFeesAndClosing</t>
        </is>
      </c>
      <c r="B27" s="15">
        <f>TotalClosingAndFractpathGrossStandard*(VestedEquity_total_Standard)</f>
        <v/>
      </c>
      <c r="C27" s="15">
        <f>TotalClosingAndFractpathGrossEarly*(VestedEquity_total_Early)</f>
        <v/>
      </c>
      <c r="D27" s="15">
        <f>TotalClosingAndFractpathGrossLate*(VestedEquity_total_Late)</f>
        <v/>
      </c>
      <c r="E27" s="23" t="inlineStr">
        <is>
          <t>Buyer’s share of total fees/costs, allocated by equity share.</t>
        </is>
      </c>
    </row>
    <row r="28">
      <c r="A28" s="21" t="inlineStr">
        <is>
          <t>SellerSharedFeesAndClosing</t>
        </is>
      </c>
      <c r="B28" s="15">
        <f>TotalClosingAndFractpathGrossStandard-BuyerSharedFeesAndClosingStandard</f>
        <v/>
      </c>
      <c r="C28" s="15">
        <f>TotalClosingAndFractpathGrossEarly-BuyerSharedFeesAndClosingEarly</f>
        <v/>
      </c>
      <c r="D28" s="15">
        <f>TotalClosingAndFractpathGrossLate-BuyerSharedFeesAndClosingLate</f>
        <v/>
      </c>
      <c r="E28" s="23" t="inlineStr">
        <is>
          <t>Seller’s share of total fees/costs, allocated by equity share.</t>
        </is>
      </c>
    </row>
    <row r="29" ht="15.75" customHeight="1" s="33">
      <c r="A29" s="21" t="inlineStr">
        <is>
          <t>RealtorPlatformShare</t>
        </is>
      </c>
      <c r="B29" s="15">
        <f>ReSharePlatform * PlatformFee</f>
        <v/>
      </c>
      <c r="C29" s="15">
        <f>ReSharePlatform * PlatformFee</f>
        <v/>
      </c>
      <c r="D29" s="15">
        <f>ReSharePlatform * PlatformFee</f>
        <v/>
      </c>
      <c r="E29" s="23" t="inlineStr">
        <is>
          <t>Realtor’s share of the platform fee.</t>
        </is>
      </c>
    </row>
    <row r="30" ht="15.75" customHeight="1" s="33">
      <c r="A30" s="21" t="inlineStr">
        <is>
          <t>RealtorServicingShare</t>
        </is>
      </c>
      <c r="B30" s="15">
        <f>ReShareServicing * ServicingTotalStandard</f>
        <v/>
      </c>
      <c r="C30" s="15">
        <f>ReShareServicing * ServicingTotalEarly</f>
        <v/>
      </c>
      <c r="D30" s="15">
        <f>ReShareServicing * ServicingTotalLate</f>
        <v/>
      </c>
      <c r="E30" s="26" t="inlineStr">
        <is>
          <t>Realtor’s share of servicing fees.</t>
        </is>
      </c>
    </row>
    <row r="31" ht="15.75" customHeight="1" s="33">
      <c r="A31" s="21" t="inlineStr">
        <is>
          <t>RealtorExitShare</t>
        </is>
      </c>
      <c r="B31" s="15">
        <f>ReShareExit * ExitFeeStandard</f>
        <v/>
      </c>
      <c r="C31" s="15">
        <f>ReShareExit * ExitFeeEarly</f>
        <v/>
      </c>
      <c r="D31" s="15">
        <f>ReShareExit * ExitFeeLate</f>
        <v/>
      </c>
      <c r="E31" s="23" t="inlineStr">
        <is>
          <t>Realtor’s share of the exit fee.</t>
        </is>
      </c>
    </row>
    <row r="32" ht="15.75" customHeight="1" s="33">
      <c r="A32" s="21" t="inlineStr">
        <is>
          <t>RealtorTotalShare</t>
        </is>
      </c>
      <c r="B32" s="15">
        <f>ReReferralFlat + RealtorPlatformShareStandard + RealtorServicingShareStandard + RealtorExitShareStandard</f>
        <v/>
      </c>
      <c r="C32" s="15">
        <f>ReReferralFlat + RealtorPlatformShareEarly + RealtorServicingShareEarly + RealtorExitShareEarly</f>
        <v/>
      </c>
      <c r="D32" s="15">
        <f>ReReferralFlat + RealtorPlatformShareLate + RealtorServicingShareLate + RealtorExitShareLate</f>
        <v/>
      </c>
      <c r="E32" s="23" t="inlineStr">
        <is>
          <t>Total paid to realtor from platform, servicing, and exit fee.</t>
        </is>
      </c>
    </row>
    <row r="33" ht="15.75" customHeight="1" s="33">
      <c r="A33" s="21" t="inlineStr">
        <is>
          <t>FractPathNet</t>
        </is>
      </c>
      <c r="B33" s="15">
        <f>FractPathGrossStandard - RealtorTotalShareStandard</f>
        <v/>
      </c>
      <c r="C33" s="15">
        <f>FractPathGrossEarly - RealtorTotalShareEarly</f>
        <v/>
      </c>
      <c r="D33" s="15">
        <f>FractPathGrossLate - RealtorTotalShareLate</f>
        <v/>
      </c>
      <c r="E33" s="26" t="inlineStr">
        <is>
          <t>FractPath revenue after paying realtor (net platform economics).</t>
        </is>
      </c>
    </row>
    <row r="34" ht="15.75" customHeight="1" s="33">
      <c r="A34" s="10" t="n"/>
      <c r="B34" s="10" t="n"/>
      <c r="C34" s="10" t="n"/>
      <c r="D34" s="10" t="n"/>
      <c r="E34" s="26" t="n"/>
    </row>
    <row r="35" ht="15.75" customHeight="1" s="33">
      <c r="A35" s="25" t="inlineStr">
        <is>
          <t>NET CASH TO BUYER &amp; HOMEOWNER</t>
        </is>
      </c>
      <c r="B35" s="10" t="n"/>
      <c r="C35" s="10" t="n"/>
      <c r="D35" s="10" t="n"/>
      <c r="E35" s="27" t="n"/>
    </row>
    <row r="36" ht="15.75" customHeight="1" s="33">
      <c r="A36" s="21" t="inlineStr">
        <is>
          <t>BuyerNetAfterCosts</t>
        </is>
      </c>
      <c r="B36" s="15">
        <f>ISA_settlementStandard-BuyerSharedFeesAndClosingStandard</f>
        <v/>
      </c>
      <c r="C36" s="15">
        <f>ISA_settlementEarly-BuyerSharedFeesAndClosingEarly</f>
        <v/>
      </c>
      <c r="D36" s="15">
        <f>ISA_settlementLate-BuyerSharedFeesAndClosingLate</f>
        <v/>
      </c>
      <c r="E36" s="23" t="inlineStr">
        <is>
          <t>Buyer cash received after ISA and after their share of all fees/costs.</t>
        </is>
      </c>
    </row>
    <row r="37" ht="15.75" customHeight="1" s="33">
      <c r="A37" s="21" t="inlineStr">
        <is>
          <t>BuyerNetProfitAfterFees</t>
        </is>
      </c>
      <c r="B37" s="15">
        <f>BuyerNetAfterCostsStandard - IBAStandard</f>
        <v/>
      </c>
      <c r="C37" s="15">
        <f>BuyerNetAfterCostsEarly - IBAEarly</f>
        <v/>
      </c>
      <c r="D37" s="15">
        <f>BuyerNetAfterCostsLate - IBALate</f>
        <v/>
      </c>
      <c r="E37" s="23" t="inlineStr">
        <is>
          <t>Buyer profit = BuyerNetAfterCosts − IBA (fully loaded, after fees).</t>
        </is>
      </c>
    </row>
    <row r="38" ht="15.75" customHeight="1" s="33">
      <c r="A38" s="21" t="inlineStr">
        <is>
          <t>BuyerROIAnnualized</t>
        </is>
      </c>
      <c r="B38" s="16">
        <f>(BuyerNetProfitAfterFeesStandard/(IBAStandard)/ExitYearStandard)</f>
        <v/>
      </c>
      <c r="C38" s="16">
        <f>(BuyerNetProfitAfterFeesEarly/(IBAEarly)/ExitYearEarly)</f>
        <v/>
      </c>
      <c r="D38" s="16">
        <f>(BuyerNetProfitAfterFeesLate/(IBALate)/ExitYearLate)</f>
        <v/>
      </c>
      <c r="E38" s="23" t="inlineStr">
        <is>
          <t>The amount of net proceeds from deal divided by total paid</t>
        </is>
      </c>
    </row>
    <row r="39" ht="15.75" customHeight="1" s="33">
      <c r="A39" s="21" t="inlineStr">
        <is>
          <t>HomeownerNetAfterCosts</t>
        </is>
      </c>
      <c r="B39" s="15">
        <f>FMV_settlementStandard-BuyerNetAfterCostsStandard-SellerSharedFeesAndClosingStandard</f>
        <v/>
      </c>
      <c r="C39" s="15">
        <f>FMV_settlementEarly-BuyerNetAfterCostsEarly-SellerSharedFeesAndClosingEarly</f>
        <v/>
      </c>
      <c r="D39" s="15">
        <f>FMV_settlementLate-BuyerNetAfterCostsLate-SellerSharedFeesAndClosingLate</f>
        <v/>
      </c>
      <c r="E39" s="23" t="inlineStr">
        <is>
          <t>Homeowner sale proceeds after their share of all fees/costs.</t>
        </is>
      </c>
    </row>
    <row r="40" ht="15.75" customHeight="1" s="33">
      <c r="A40" s="21" t="inlineStr">
        <is>
          <t>HomeownerCashReceived</t>
        </is>
      </c>
      <c r="B40" s="15">
        <f>HomeownerNetAfterCostsStandard+IBAStandard</f>
        <v/>
      </c>
      <c r="C40" s="15">
        <f>HomeownerNetAfterCostsEarly+IBAEarly</f>
        <v/>
      </c>
      <c r="D40" s="15">
        <f>HomeownerNetAfterCostsLate+IBALate</f>
        <v/>
      </c>
      <c r="E40" s="23" t="inlineStr">
        <is>
          <t>Total cash to homeowner with deal = upfront + monthly payments + HomeownerNetAfterCosts.</t>
        </is>
      </c>
    </row>
    <row r="41"/>
    <row r="42">
      <c r="A42" s="25" t="inlineStr">
        <is>
          <t>BUYER REMAINING EQUITY BARGAIN</t>
        </is>
      </c>
    </row>
    <row r="43" ht="15.75" customHeight="1" s="33">
      <c r="A43" s="21" t="inlineStr">
        <is>
          <t>BuyerImpliedPurchasePrice</t>
        </is>
      </c>
      <c r="B43" s="15">
        <f>IBAStandard / VestedEquity_total_Standard
</f>
        <v/>
      </c>
      <c r="C43" s="15">
        <f>IBAEarly / VestedEquity_total_Early
</f>
        <v/>
      </c>
      <c r="D43" s="15">
        <f>IBALate / VestedEquity_total_Late
</f>
        <v/>
      </c>
      <c r="E43" s="23" t="inlineStr">
        <is>
          <t>This is the price of the remaining equity for the buyer to purchase</t>
        </is>
      </c>
    </row>
    <row r="44" ht="15.75" customHeight="1" s="33">
      <c r="A44" s="28" t="inlineStr">
        <is>
          <t>BuyerDiscountVsMarket</t>
        </is>
      </c>
      <c r="B44" s="29">
        <f>IF(FMV_settlementStandard=0,"", 1 - (BuyerImpliedPurchasePriceStandard / FMV_settlementStandard))
</f>
        <v/>
      </c>
      <c r="C44" s="29">
        <f>IF(FMV_settlementEarly=0,"", 1 - (BuyerImpliedPurchasePriceEarly / FMV_settlementEarly))
</f>
        <v/>
      </c>
      <c r="D44" s="29">
        <f>IF(FMV_settlementLate=0,"", 1 - (BuyerImpliedPurchasePriceLate / FMV_settlementLate))
</f>
        <v/>
      </c>
      <c r="E44" s="23" t="inlineStr">
        <is>
          <t>This is the money the buyer saved by purchasing early equity rather than waiting</t>
        </is>
      </c>
    </row>
    <row r="45" ht="15.75" customHeight="1" s="33">
      <c r="A45" s="28" t="inlineStr">
        <is>
          <t>SellerRemainingEquityValue</t>
        </is>
      </c>
      <c r="B45" s="30">
        <f>FMV_settlementStandard * (1 - VestedEquity_total_Standard)
</f>
        <v/>
      </c>
      <c r="C45" s="30">
        <f>FMV_settlementEarly * (1 - VestedEquity_total_Early)
</f>
        <v/>
      </c>
      <c r="D45" s="30">
        <f>FMV_settlementLate * (1 - VestedEquity_total_Late)
</f>
        <v/>
      </c>
      <c r="E45" s="23" t="n"/>
    </row>
    <row r="46" ht="15.75" customHeight="1" s="33">
      <c r="A46" s="31" t="n"/>
      <c r="B46" s="30" t="n"/>
      <c r="C46" s="30" t="n"/>
      <c r="D46" s="30" t="n"/>
      <c r="E46" s="23" t="n"/>
    </row>
    <row r="47" ht="15.75" customHeight="1" s="33">
      <c r="A47" s="25" t="inlineStr">
        <is>
          <t>SELLER NO DEAL OPPORTUNITY COST</t>
        </is>
      </c>
      <c r="B47" s="18" t="n"/>
      <c r="C47" s="18" t="n"/>
      <c r="D47" s="18" t="n"/>
    </row>
    <row r="48" ht="15.75" customHeight="1" s="33">
      <c r="A48" s="21" t="inlineStr">
        <is>
          <t>HomeownerNetCashReceivedWithoutDEAL</t>
        </is>
      </c>
      <c r="B48" s="15">
        <f>FMV_settlementStandard-ClosingCosts</f>
        <v/>
      </c>
      <c r="C48" s="15">
        <f>FMV_settlementEarly-ClosingCosts</f>
        <v/>
      </c>
      <c r="D48" s="15">
        <f>FMV_settlementLate-ClosingCosts</f>
        <v/>
      </c>
      <c r="E48" s="23" t="inlineStr">
        <is>
          <t>What homeowner would receive if they sold at FMV at this time with no FractPath deal.</t>
        </is>
      </c>
    </row>
    <row r="49" ht="15.75" customHeight="1" s="33">
      <c r="A49" s="21" t="inlineStr">
        <is>
          <t>HomeownerEquityCost</t>
        </is>
      </c>
      <c r="B49" s="15">
        <f>HomeownerNetCashReceivedWithoutDEALStandard-HomeownerCashReceivedStandard</f>
        <v/>
      </c>
      <c r="C49" s="15">
        <f>HomeownerNetCashReceivedWithoutDEALEarly-HomeownerCashReceivedEarly</f>
        <v/>
      </c>
      <c r="D49" s="15">
        <f>HomeownerNetCashReceivedWithoutDEALLate-HomeownerCashReceivedLate</f>
        <v/>
      </c>
      <c r="E49" s="23" t="inlineStr">
        <is>
          <t>Dollar opportunity cost of doing the deal vs no‑deal (positive = gave up upside).</t>
        </is>
      </c>
    </row>
    <row r="50" ht="15.75" customHeight="1" s="33">
      <c r="A50" s="21" t="inlineStr">
        <is>
          <t>BorrowingCostAnnualized</t>
        </is>
      </c>
      <c r="B50" s="16">
        <f>(HomeownerEquityCostStandard/IBAStandard)/ExitYearStandard</f>
        <v/>
      </c>
      <c r="C50" s="16">
        <f>(HomeownerEquityCostEarly/IBAEarly)/ExitYearEarly</f>
        <v/>
      </c>
      <c r="D50" s="16">
        <f>(HomeownerEquityCostLate/IBALate)/ExitYearLate</f>
        <v/>
      </c>
      <c r="E50" s="23" t="inlineStr">
        <is>
          <t>Implied annual cost of borrowing against equity (HomeownerEquityCost over time).</t>
        </is>
      </c>
    </row>
    <row r="51">
      <c r="A51" s="35" t="inlineStr">
        <is>
          <t>Duration protection note</t>
        </is>
      </c>
      <c r="B51" t="inlineStr">
        <is>
          <t>Hard maturity + liquidity trigger are contract rights; they do not change ISA math directly.</t>
        </is>
      </c>
    </row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  <row r="1001" ht="15.75" customHeight="1" s="33"/>
    <row r="1002" ht="15.75" customHeight="1" s="33"/>
    <row r="1003" ht="15.75" customHeight="1" s="33"/>
    <row r="1004" ht="15.75" customHeight="1" s="33"/>
    <row r="1005" ht="15.75" customHeight="1" s="33"/>
    <row r="1006" ht="15.75" customHeight="1" s="33"/>
    <row r="1007" ht="15.75" customHeight="1" s="33"/>
    <row r="1008" ht="15.75" customHeight="1" s="33"/>
    <row r="1009" ht="15.75" customHeight="1" s="33"/>
    <row r="1010" ht="15.75" customHeight="1" s="33"/>
    <row r="1011" ht="15.75" customHeight="1" s="33"/>
    <row r="1012" ht="15.75" customHeight="1" s="33"/>
    <row r="1013" ht="15.75" customHeight="1" s="33"/>
    <row r="1014" ht="15.75" customHeight="1" s="33"/>
    <row r="1015" ht="15.75" customHeight="1" s="33"/>
    <row r="1016" ht="15.75" customHeight="1" s="33"/>
    <row r="1017" ht="15.75" customHeight="1" s="33"/>
    <row r="1018" ht="15.75" customHeight="1" s="33"/>
    <row r="1019" ht="15.75" customHeight="1" s="33"/>
    <row r="1020" ht="15.75" customHeight="1" s="33"/>
    <row r="1021" ht="15.75" customHeight="1" s="33"/>
    <row r="1022" ht="15.75" customHeight="1" s="33"/>
    <row r="1023" ht="15.75" customHeight="1" s="3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40" customWidth="1" style="33" min="1" max="1"/>
    <col width="18" customWidth="1" style="33" min="2" max="4"/>
    <col width="8.710000000000001" customWidth="1" style="33" min="5" max="26"/>
  </cols>
  <sheetData>
    <row r="1">
      <c r="A1" s="1" t="inlineStr">
        <is>
          <t>Summary</t>
        </is>
      </c>
    </row>
    <row r="2">
      <c r="A2" s="2" t="inlineStr">
        <is>
          <t>Party / Metric</t>
        </is>
      </c>
      <c r="B2" s="2" t="inlineStr">
        <is>
          <t>Standard</t>
        </is>
      </c>
      <c r="C2" s="2" t="inlineStr">
        <is>
          <t>Early</t>
        </is>
      </c>
      <c r="D2" s="2" t="inlineStr">
        <is>
          <t>Late</t>
        </is>
      </c>
    </row>
    <row r="3">
      <c r="A3" s="21" t="inlineStr">
        <is>
          <t>Buyer — Total Invested</t>
        </is>
      </c>
      <c r="B3" s="15">
        <f>I_upfront + CumPaidStandard</f>
        <v/>
      </c>
      <c r="C3" s="15">
        <f>I_upfront + CumPaidEarly</f>
        <v/>
      </c>
      <c r="D3" s="15">
        <f>I_upfront + CumPaidLate</f>
        <v/>
      </c>
    </row>
    <row r="4">
      <c r="A4" s="21" t="inlineStr">
        <is>
          <t>Buyer — Settlement Received (ISA)</t>
        </is>
      </c>
      <c r="B4" s="15">
        <f>ISA_settlementStandard</f>
        <v/>
      </c>
      <c r="C4" s="15">
        <f>ISA_settlementEarly</f>
        <v/>
      </c>
      <c r="D4" s="15">
        <f>ISA_settlementLate</f>
        <v/>
      </c>
    </row>
    <row r="5">
      <c r="A5" s="21" t="inlineStr">
        <is>
          <t>Buyer — Profit (Net Cash)</t>
        </is>
      </c>
      <c r="B5" s="15">
        <f>BuyerNetProfitAfterFeesStandard</f>
        <v/>
      </c>
      <c r="C5" s="15">
        <f>BuyerNetProfitAfterFeesEarly</f>
        <v/>
      </c>
      <c r="D5" s="15">
        <f>BuyerNetProfitAfterFeesLate</f>
        <v/>
      </c>
    </row>
    <row r="6">
      <c r="A6" s="21" t="inlineStr">
        <is>
          <t>Buyer — Multiple (ISA / Invested)</t>
        </is>
      </c>
      <c r="B6" s="32">
        <f>IF(B3=0,"",B4/B3)</f>
        <v/>
      </c>
      <c r="C6" s="32">
        <f>IF(C3=0,"",C4/C3)</f>
        <v/>
      </c>
      <c r="D6" s="32">
        <f>IF(D3=0,"",D4/D3)</f>
        <v/>
      </c>
    </row>
    <row r="7">
      <c r="A7" s="10" t="n"/>
      <c r="B7" s="15" t="n"/>
      <c r="C7" s="15" t="n"/>
      <c r="D7" s="15" t="n"/>
    </row>
    <row r="8">
      <c r="A8" s="21" t="inlineStr">
        <is>
          <t>Homeowner — Cash Received To Date</t>
        </is>
      </c>
      <c r="B8" s="15">
        <f>I_upfront + CumPaidStandard</f>
        <v/>
      </c>
      <c r="C8" s="15">
        <f>I_upfront + CumPaidEarly</f>
        <v/>
      </c>
      <c r="D8" s="15">
        <f>I_upfront + CumPaidLate</f>
        <v/>
      </c>
    </row>
    <row r="9">
      <c r="A9" s="21" t="inlineStr">
        <is>
          <t>Homeowner — Total Paid at Settlement</t>
        </is>
      </c>
      <c r="B9" s="15">
        <f>FMV_settlementStandard-HomeownerNetAfterCostsStandard</f>
        <v/>
      </c>
      <c r="C9" s="15">
        <f>FMV_settlementEarly-HomeownerNetAfterCostsEarly</f>
        <v/>
      </c>
      <c r="D9" s="15">
        <f>FMV_settlementLate-HomeownerNetAfterCostsLate</f>
        <v/>
      </c>
    </row>
    <row r="10">
      <c r="A10" s="21" t="inlineStr">
        <is>
          <t>Homeowner — Net Financing Impact</t>
        </is>
      </c>
      <c r="B10" s="15">
        <f>HomeownerCashReceivedStandard</f>
        <v/>
      </c>
      <c r="C10" s="15">
        <f>HomeownerCashReceivedEarly</f>
        <v/>
      </c>
      <c r="D10" s="15">
        <f>HomeownerCashReceivedLate</f>
        <v/>
      </c>
    </row>
    <row r="11">
      <c r="A11" s="10" t="n"/>
      <c r="B11" s="15" t="n"/>
      <c r="C11" s="15" t="n"/>
      <c r="D11" s="15" t="n"/>
    </row>
    <row r="12">
      <c r="A12" s="21" t="inlineStr">
        <is>
          <t>Realtor — Total</t>
        </is>
      </c>
      <c r="B12" s="15">
        <f>RealtorTotalShareStandard</f>
        <v/>
      </c>
      <c r="C12" s="15">
        <f>RealtorTotalShareEarly</f>
        <v/>
      </c>
      <c r="D12" s="15">
        <f>RealtorTotalShareLate</f>
        <v/>
      </c>
    </row>
    <row r="13">
      <c r="A13" s="10" t="n"/>
      <c r="B13" s="15" t="n"/>
      <c r="C13" s="15" t="n"/>
      <c r="D13" s="15" t="n"/>
    </row>
    <row r="14">
      <c r="A14" s="21" t="inlineStr">
        <is>
          <t>FractPath — Gross</t>
        </is>
      </c>
      <c r="B14" s="15">
        <f>FractPathGrossStandard</f>
        <v/>
      </c>
      <c r="C14" s="15">
        <f>FractPathGrossEarly</f>
        <v/>
      </c>
      <c r="D14" s="15">
        <f>FractPathGrossLate</f>
        <v/>
      </c>
    </row>
    <row r="15">
      <c r="A15" s="21" t="inlineStr">
        <is>
          <t>FractPath — Net after Realtor</t>
        </is>
      </c>
      <c r="B15" s="15">
        <f>FractPathNetStandard</f>
        <v/>
      </c>
      <c r="C15" s="15">
        <f>FractPathNetEarly</f>
        <v/>
      </c>
      <c r="D15" s="15">
        <f>FractPathNetLate</f>
        <v/>
      </c>
    </row>
    <row r="16"/>
    <row r="17">
      <c r="A17" s="35" t="inlineStr">
        <is>
          <t>Governance / Toggles</t>
        </is>
      </c>
    </row>
    <row r="18">
      <c r="A18" t="inlineStr">
        <is>
          <t>Downside Mode</t>
        </is>
      </c>
      <c r="B18">
        <f>DownsideMode</f>
        <v/>
      </c>
    </row>
    <row r="19">
      <c r="A19" t="inlineStr">
        <is>
          <t>Buyback Pricing</t>
        </is>
      </c>
      <c r="B19">
        <f>BuybackPricing</f>
        <v/>
      </c>
    </row>
    <row r="20">
      <c r="A20" t="inlineStr">
        <is>
          <t>Maturity (Years)</t>
        </is>
      </c>
      <c r="B20">
        <f>MaturityYears</f>
        <v/>
      </c>
    </row>
    <row r="21" ht="15.75" customHeight="1" s="33">
      <c r="A21" t="inlineStr">
        <is>
          <t>Liquidity Trigger Year</t>
        </is>
      </c>
      <c r="B21">
        <f>LiquidityTriggerYear</f>
        <v/>
      </c>
    </row>
    <row r="22" ht="15.75" customHeight="1" s="33">
      <c r="A22" t="inlineStr">
        <is>
          <t>Min Hold (Years)</t>
        </is>
      </c>
      <c r="B22">
        <f>MinHoldYears</f>
        <v/>
      </c>
    </row>
    <row r="23" ht="15.75" customHeight="1" s="33"/>
    <row r="24" ht="15.75" customHeight="1" s="33"/>
    <row r="25" ht="15.75" customHeight="1" s="33"/>
    <row r="26" ht="15.75" customHeight="1" s="33"/>
    <row r="27" ht="15.75" customHeight="1" s="33"/>
    <row r="28" ht="15.75" customHeight="1" s="33"/>
    <row r="29" ht="15.75" customHeight="1" s="33"/>
    <row r="30" ht="15.75" customHeight="1" s="33"/>
    <row r="31" ht="15.75" customHeight="1" s="33"/>
    <row r="32" ht="15.75" customHeight="1" s="33"/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2026-01-22T00:32:29Z</dcterms:created>
  <dcterms:modified xmlns:dcterms="http://purl.org/dc/terms/" xmlns:xsi="http://www.w3.org/2001/XMLSchema-instance" xsi:type="dcterms:W3CDTF">2026-02-12T22:42:34Z</dcterms:modified>
</cp:coreProperties>
</file>